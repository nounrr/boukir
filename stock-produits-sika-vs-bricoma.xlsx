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<sst xmlns="http://schemas.openxmlformats.org/spreadsheetml/2006/main" count="319" uniqueCount="147">
  <si>
    <t xml:space="preserve">Designation</t>
  </si>
  <si>
    <t xml:space="preserve">Variante</t>
  </si>
  <si>
    <t xml:space="preserve">Categorie</t>
  </si>
  <si>
    <t xml:space="preserve">Marque</t>
  </si>
  <si>
    <t xml:space="preserve">Reference</t>
  </si>
  <si>
    <t xml:space="preserve">Ref variant</t>
  </si>
  <si>
    <t xml:space="preserve">Image</t>
  </si>
  <si>
    <t xml:space="preserve">Stock</t>
  </si>
  <si>
    <t xml:space="preserve">Prix vente</t>
  </si>
  <si>
    <t xml:space="preserve">Prix vente 2</t>
  </si>
  <si>
    <t xml:space="preserve">Est dans un snapshot</t>
  </si>
  <si>
    <t xml:space="preserve">Correspondance Bricoma</t>
  </si>
  <si>
    <t xml:space="preserve">Produit Bricoma</t>
  </si>
  <si>
    <t xml:space="preserve">Prix Bricoma (MAD TTC)</t>
  </si>
  <si>
    <t xml:space="preserve">Écart Prix vente − Bricoma</t>
  </si>
  <si>
    <t xml:space="preserve">Écart %</t>
  </si>
  <si>
    <t xml:space="preserve">Lien produit Bricoma</t>
  </si>
  <si>
    <t xml:space="preserve">Remarque</t>
  </si>
  <si>
    <t xml:space="preserve">SIKA Level 110 25 kg</t>
  </si>
  <si>
    <t xml:space="preserve">MORTIERS &amp; SUPPORTS TECHNIQUES</t>
  </si>
  <si>
    <t xml:space="preserve">Sika</t>
  </si>
  <si>
    <t xml:space="preserve">6430</t>
  </si>
  <si>
    <t xml:space="preserve">Oui</t>
  </si>
  <si>
    <t xml:space="preserve">Non trouvé</t>
  </si>
  <si>
    <t xml:space="preserve">SIKA GROUTE 212 25 kg</t>
  </si>
  <si>
    <t xml:space="preserve">6171</t>
  </si>
  <si>
    <t xml:space="preserve">Exacte</t>
  </si>
  <si>
    <t xml:space="preserve">SIKAGROUT 212 M SAC DE 25KG</t>
  </si>
  <si>
    <t xml:space="preserve">https://www.bricoma.ma/sikagrout-212-m-sac-de-25kg.html</t>
  </si>
  <si>
    <t xml:space="preserve">SIKA Monotop® - 411 RM</t>
  </si>
  <si>
    <t xml:space="preserve">5265</t>
  </si>
  <si>
    <t xml:space="preserve">SIKA MONOTOP 411 RM S25KG</t>
  </si>
  <si>
    <t xml:space="preserve">https://www.bricoma.ma/conservado-impermeabilisation-incolore-pour-la-protection-des-facades-7.html</t>
  </si>
  <si>
    <t xml:space="preserve">Sikaflex Pro - 3</t>
  </si>
  <si>
    <t xml:space="preserve">SILICONE SEALANT</t>
  </si>
  <si>
    <t xml:space="preserve">5048</t>
  </si>
  <si>
    <t xml:space="preserve">SIKAFLEX PRO-3 CONCRETE GREY C300ML</t>
  </si>
  <si>
    <t xml:space="preserve">https://www.bricoma.ma/sikaflex-pro-3-concrete-grey-c300ml.html</t>
  </si>
  <si>
    <t xml:space="preserve">Sika' Décoffrage 5 L</t>
  </si>
  <si>
    <t xml:space="preserve">3712</t>
  </si>
  <si>
    <t xml:space="preserve">SIKA DECOFFRAGE PROTECTION DES COFFRAGES EN BOIS BIDON 5L</t>
  </si>
  <si>
    <t xml:space="preserve">https://www.bricoma.ma/sikacrete-ucs-m-kit-3kg-1.html</t>
  </si>
  <si>
    <t xml:space="preserve">SIKA WATERBAR D19 × 15 m Joint Jaune</t>
  </si>
  <si>
    <t xml:space="preserve">ÉTANCHÉITÉ &amp; IMPERMEABILISATION</t>
  </si>
  <si>
    <t xml:space="preserve">3423</t>
  </si>
  <si>
    <t xml:space="preserve">Waterbar D19 non référencé actuellement</t>
  </si>
  <si>
    <t xml:space="preserve">SIKA LANKOSEC 321</t>
  </si>
  <si>
    <t xml:space="preserve">3323</t>
  </si>
  <si>
    <t xml:space="preserve">Lankosec 321 non référencé</t>
  </si>
  <si>
    <t xml:space="preserve">SIKA Conservador b25 L</t>
  </si>
  <si>
    <t xml:space="preserve">2408</t>
  </si>
  <si>
    <t xml:space="preserve">CONSERVADO IMPERMEABILISATION INCOLORE (25 L)</t>
  </si>
  <si>
    <t xml:space="preserve">https://www.bricoma.ma/conservado-impermeabilisation-incolore-pour-la-protection-des-facades.html</t>
  </si>
  <si>
    <t xml:space="preserve">En rupture de stock chez Bricoma</t>
  </si>
  <si>
    <t xml:space="preserve">Sikafill® Toiture</t>
  </si>
  <si>
    <t xml:space="preserve">2406</t>
  </si>
  <si>
    <t xml:space="preserve">Proche</t>
  </si>
  <si>
    <t xml:space="preserve">SikaFill Toiture Blanc 5KG</t>
  </si>
  <si>
    <t xml:space="preserve">https://www.bricoma.ma/bandes-pour-joints-de-dilatation-internes-d19-rouleau-de-15m-7.html</t>
  </si>
  <si>
    <t xml:space="preserve">Bricoma ne vend que le 5 kg (Blanc ou Rouge 135 MAD) — format différent</t>
  </si>
  <si>
    <t xml:space="preserve">SIKA Mortier Rapide 5 kg</t>
  </si>
  <si>
    <t xml:space="preserve">2405</t>
  </si>
  <si>
    <t xml:space="preserve">SIKA MORTIER HYDROLIQUE RAPIDE SEAU DE 10KG</t>
  </si>
  <si>
    <t xml:space="preserve">https://www.bricoma.ma/sika-mortier-rapide-seau-de-05kg-1.html</t>
  </si>
  <si>
    <t xml:space="preserve">Seau 10 kg chez Bricoma (pas de 5 kg)</t>
  </si>
  <si>
    <t xml:space="preserve">SIKA BOOM Mousse Construction</t>
  </si>
  <si>
    <t xml:space="preserve">2402</t>
  </si>
  <si>
    <t xml:space="preserve">Sika Boom non référencé</t>
  </si>
  <si>
    <t xml:space="preserve">SikaCeram• 80I Blanc 25 kg</t>
  </si>
  <si>
    <t xml:space="preserve">COLLES DE CARRELAGE &amp; MARBRE</t>
  </si>
  <si>
    <t xml:space="preserve">2025</t>
  </si>
  <si>
    <t xml:space="preserve">Alternative Bricoma : SIKACERAM 105M BLANC 25 kg à 105 MAD</t>
  </si>
  <si>
    <t xml:space="preserve">SIKA M70 Blanc 20 kg</t>
  </si>
  <si>
    <t xml:space="preserve">2016</t>
  </si>
  <si>
    <t xml:space="preserve">SIKA 522 25 kg</t>
  </si>
  <si>
    <t xml:space="preserve">2015</t>
  </si>
  <si>
    <t xml:space="preserve">SIKA I 80 Gris 25 kg</t>
  </si>
  <si>
    <t xml:space="preserve">2011</t>
  </si>
  <si>
    <t xml:space="preserve">Alternative Bricoma : SIKACERAM 100M Gris 25 kg à 53 MAD</t>
  </si>
  <si>
    <t xml:space="preserve">SIKA 1 kg</t>
  </si>
  <si>
    <t xml:space="preserve">MATIERE DE CONSTRUCTION</t>
  </si>
  <si>
    <t xml:space="preserve">1955</t>
  </si>
  <si>
    <t xml:space="preserve">À vérifier</t>
  </si>
  <si>
    <t xml:space="preserve">SUPER SIKALITE SAC DE 1 KG</t>
  </si>
  <si>
    <t xml:space="preserve">https://www.bricoma.ma/conservado-impermeabilisation-incolore-pour-la-protection-des-facades-10.html</t>
  </si>
  <si>
    <t xml:space="preserve">Désignation "SIKA 1 kg" ambiguë — supposé Super Sikalite 1 kg</t>
  </si>
  <si>
    <t xml:space="preserve">SIKA Conservado 5 L</t>
  </si>
  <si>
    <t xml:space="preserve">1355</t>
  </si>
  <si>
    <t xml:space="preserve">Bricoma ne propose que le bidon 25 L</t>
  </si>
  <si>
    <t xml:space="preserve">SIKA TOP®121 Surfaçage m</t>
  </si>
  <si>
    <t xml:space="preserve">1257</t>
  </si>
  <si>
    <t xml:space="preserve">KIT SIKATOP 121</t>
  </si>
  <si>
    <t xml:space="preserve">https://www.bricoma.ma/kit-sikatop-121.html</t>
  </si>
  <si>
    <t xml:space="preserve">SIKA TOP 122 Réparation m</t>
  </si>
  <si>
    <t xml:space="preserve">1256</t>
  </si>
  <si>
    <t xml:space="preserve">KIT SIKATOP 122 Réparation M</t>
  </si>
  <si>
    <t xml:space="preserve">https://www.bricoma.ma/kit-sikatop-122.html</t>
  </si>
  <si>
    <t xml:space="preserve">Sika Latex 5 L</t>
  </si>
  <si>
    <t xml:space="preserve">1194</t>
  </si>
  <si>
    <t xml:space="preserve">SIKALATEX M BIDON DE 5L</t>
  </si>
  <si>
    <t xml:space="preserve">https://www.bricoma.ma/sikagrout-212-m-sac-de-25kg-3.html</t>
  </si>
  <si>
    <t xml:space="preserve">Sika Latex 2 L</t>
  </si>
  <si>
    <t xml:space="preserve">1193</t>
  </si>
  <si>
    <t xml:space="preserve">SIKALATEX M BIDON DE 2L</t>
  </si>
  <si>
    <t xml:space="preserve">https://www.bricoma.ma/sikagrout-212-m-sac-de-25kg-7.html</t>
  </si>
  <si>
    <t xml:space="preserve">SIKA Dur 31 Colle m</t>
  </si>
  <si>
    <t xml:space="preserve">1192</t>
  </si>
  <si>
    <t xml:space="preserve">SIKADUR 31 COLLE M KIT DE 1.24KG</t>
  </si>
  <si>
    <t xml:space="preserve">https://www.bricoma.ma/sikatop-armatec-108-m-kit-de-5kg-3.html</t>
  </si>
  <si>
    <t xml:space="preserve">SILICONE SIKA FLEX PRO - 11FC</t>
  </si>
  <si>
    <t xml:space="preserve">6132</t>
  </si>
  <si>
    <t xml:space="preserve">SIKAFLEX PRO11 FC BLANC/GRIS 310ML</t>
  </si>
  <si>
    <t xml:space="preserve">https://www.bricoma.ma/sikaflex-pro11-fc-blanc-cartouche-de-310ml.html</t>
  </si>
  <si>
    <t xml:space="preserve">Blanc</t>
  </si>
  <si>
    <t xml:space="preserve">SIKAFLEX PRO11 FC BLANC 310ML</t>
  </si>
  <si>
    <t xml:space="preserve">Gris</t>
  </si>
  <si>
    <t xml:space="preserve">SIKAFLEX PRO11 FC GRIS 310ML</t>
  </si>
  <si>
    <t xml:space="preserve">https://www.bricoma.ma/sikaflex-pro11-fc-gris-cartouche-de-310ml.html</t>
  </si>
  <si>
    <t xml:space="preserve">Hydrofuge Sika' Poudre 0.5kg</t>
  </si>
  <si>
    <t xml:space="preserve">1954</t>
  </si>
  <si>
    <t xml:space="preserve">HYDROFUGE SIKA POUDRE 0,5 kg (COLLE HYDROFUGE EN POUDRE PLASTIFIANT DE MASSE)</t>
  </si>
  <si>
    <t xml:space="preserve">https://www.bricoma.ma/conservado-impermeabilisation-incolore-pour-la-protection-des-facades-4.html</t>
  </si>
  <si>
    <t xml:space="preserve">Silicone Sikas Anchorfix2._</t>
  </si>
  <si>
    <t xml:space="preserve">1287</t>
  </si>
  <si>
    <t xml:space="preserve">SIKA ANCHOR FIX-2 RÉSINE DE SCELLEMENT CARTOUCHE 300ML</t>
  </si>
  <si>
    <t xml:space="preserve">https://www.bricoma.ma/sikaflex-112-crystal-clear-1.html</t>
  </si>
  <si>
    <t xml:space="preserve">MASTIC SIKA 544 MARRON 5 kg</t>
  </si>
  <si>
    <t xml:space="preserve">MASTIQUE ET JOINT</t>
  </si>
  <si>
    <t xml:space="preserve">1268</t>
  </si>
  <si>
    <t xml:space="preserve">Mastics Sika 543/544 non référencés</t>
  </si>
  <si>
    <t xml:space="preserve">MASTIC SIKA 544 BLEU 5 kg</t>
  </si>
  <si>
    <t xml:space="preserve">1267</t>
  </si>
  <si>
    <t xml:space="preserve">MASTIC SIKA 543 Gris 5 kg</t>
  </si>
  <si>
    <t xml:space="preserve">1266</t>
  </si>
  <si>
    <t xml:space="preserve">MASTIC SIKA 543 Noir 5 kg</t>
  </si>
  <si>
    <t xml:space="preserve">1265</t>
  </si>
  <si>
    <t xml:space="preserve">MASTIC SIKA 543 Blanc 5 kg</t>
  </si>
  <si>
    <t xml:space="preserve">1264</t>
  </si>
  <si>
    <t xml:space="preserve">MASTIC SIKA 543 BEIGE 5 kg</t>
  </si>
  <si>
    <t xml:space="preserve">1263</t>
  </si>
  <si>
    <t xml:space="preserve">Fibré SIKA FIBRE</t>
  </si>
  <si>
    <t xml:space="preserve">1191</t>
  </si>
  <si>
    <t xml:space="preserve">Sika Fibre non référencé</t>
  </si>
  <si>
    <t xml:space="preserve">Époxy Grout 5 kg</t>
  </si>
  <si>
    <t xml:space="preserve">2407</t>
  </si>
  <si>
    <t xml:space="preserve">Époxy grout Sika non référencé</t>
  </si>
  <si>
    <t xml:space="preserve">Source : bricoma.ma, prix publics TTC relevés le 10/10/2026. Écart positif = votre prix est plus élevé que Bricoma.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</si>
</sst>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;[RED]\-#,##0.00"/>
    <numFmt numFmtId="167" formatCode="0.0%;[RED]\-0.0%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ricoma.ma/sikagrout-212-m-sac-de-25kg.html" TargetMode="External"/><Relationship Id="rId2" Type="http://schemas.openxmlformats.org/officeDocument/2006/relationships/hyperlink" Target="https://www.bricoma.ma/conservado-impermeabilisation-incolore-pour-la-protection-des-facades-7.html" TargetMode="External"/><Relationship Id="rId3" Type="http://schemas.openxmlformats.org/officeDocument/2006/relationships/hyperlink" Target="https://www.bricoma.ma/sikaflex-pro-3-concrete-grey-c300ml.html" TargetMode="External"/><Relationship Id="rId4" Type="http://schemas.openxmlformats.org/officeDocument/2006/relationships/hyperlink" Target="https://www.bricoma.ma/sikacrete-ucs-m-kit-3kg-1.html" TargetMode="External"/><Relationship Id="rId5" Type="http://schemas.openxmlformats.org/officeDocument/2006/relationships/hyperlink" Target="https://www.bricoma.ma/conservado-impermeabilisation-incolore-pour-la-protection-des-facades.html" TargetMode="External"/><Relationship Id="rId6" Type="http://schemas.openxmlformats.org/officeDocument/2006/relationships/hyperlink" Target="https://www.bricoma.ma/bandes-pour-joints-de-dilatation-internes-d19-rouleau-de-15m-7.html" TargetMode="External"/><Relationship Id="rId7" Type="http://schemas.openxmlformats.org/officeDocument/2006/relationships/hyperlink" Target="https://www.bricoma.ma/sika-mortier-rapide-seau-de-05kg-1.html" TargetMode="External"/><Relationship Id="rId8" Type="http://schemas.openxmlformats.org/officeDocument/2006/relationships/hyperlink" Target="https://www.bricoma.ma/conservado-impermeabilisation-incolore-pour-la-protection-des-facades-10.html" TargetMode="External"/><Relationship Id="rId9" Type="http://schemas.openxmlformats.org/officeDocument/2006/relationships/hyperlink" Target="https://www.bricoma.ma/kit-sikatop-121.html" TargetMode="External"/><Relationship Id="rId10" Type="http://schemas.openxmlformats.org/officeDocument/2006/relationships/hyperlink" Target="https://www.bricoma.ma/kit-sikatop-122.html" TargetMode="External"/><Relationship Id="rId11" Type="http://schemas.openxmlformats.org/officeDocument/2006/relationships/hyperlink" Target="https://www.bricoma.ma/sikagrout-212-m-sac-de-25kg-3.html" TargetMode="External"/><Relationship Id="rId12" Type="http://schemas.openxmlformats.org/officeDocument/2006/relationships/hyperlink" Target="https://www.bricoma.ma/sikagrout-212-m-sac-de-25kg-7.html" TargetMode="External"/><Relationship Id="rId13" Type="http://schemas.openxmlformats.org/officeDocument/2006/relationships/hyperlink" Target="https://www.bricoma.ma/sikatop-armatec-108-m-kit-de-5kg-3.html" TargetMode="External"/><Relationship Id="rId14" Type="http://schemas.openxmlformats.org/officeDocument/2006/relationships/hyperlink" Target="https://www.bricoma.ma/sikaflex-pro11-fc-blanc-cartouche-de-310ml.html" TargetMode="External"/><Relationship Id="rId15" Type="http://schemas.openxmlformats.org/officeDocument/2006/relationships/hyperlink" Target="https://www.bricoma.ma/sikaflex-pro11-fc-blanc-cartouche-de-310ml.html" TargetMode="External"/><Relationship Id="rId16" Type="http://schemas.openxmlformats.org/officeDocument/2006/relationships/hyperlink" Target="https://www.bricoma.ma/sikaflex-pro11-fc-gris-cartouche-de-310ml.html" TargetMode="External"/><Relationship Id="rId17" Type="http://schemas.openxmlformats.org/officeDocument/2006/relationships/hyperlink" Target="https://www.bricoma.ma/conservado-impermeabilisation-incolore-pour-la-protection-des-facades-4.html" TargetMode="External"/><Relationship Id="rId18" Type="http://schemas.openxmlformats.org/officeDocument/2006/relationships/hyperlink" Target="https://www.bricoma.ma/sikaflex-112-crystal-clear-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50.84"/>
    <col collapsed="false" customWidth="true" hidden="false" outlineLevel="0" max="2" min="2" style="0" width="30.83"/>
    <col collapsed="false" customWidth="true" hidden="false" outlineLevel="0" max="3" min="3" style="0" width="28.83"/>
    <col collapsed="false" customWidth="true" hidden="false" outlineLevel="0" max="4" min="4" style="0" width="24.83"/>
    <col collapsed="false" customWidth="true" hidden="false" outlineLevel="0" max="5" min="5" style="0" width="16.83"/>
    <col collapsed="false" customWidth="true" hidden="false" outlineLevel="0" max="6" min="6" style="0" width="24.83"/>
    <col collapsed="false" customWidth="true" hidden="false" outlineLevel="0" max="7" min="7" style="0" width="10.83"/>
    <col collapsed="false" customWidth="true" hidden="false" outlineLevel="0" max="8" min="8" style="0" width="14.83"/>
    <col collapsed="false" customWidth="true" hidden="false" outlineLevel="0" max="10" min="9" style="0" width="16.83"/>
    <col collapsed="false" customWidth="true" hidden="false" outlineLevel="0" max="11" min="11" style="0" width="22.84"/>
    <col collapsed="false" customWidth="true" hidden="false" outlineLevel="0" max="12" min="12" style="0" width="16"/>
    <col collapsed="false" customWidth="true" hidden="false" outlineLevel="0" max="13" min="13" style="0" width="48"/>
    <col collapsed="false" customWidth="true" hidden="false" outlineLevel="0" max="15" min="14" style="0" width="14"/>
    <col collapsed="false" customWidth="true" hidden="false" outlineLevel="0" max="16" min="16" style="0" width="10"/>
    <col collapsed="false" customWidth="true" hidden="false" outlineLevel="0" max="17" min="17" style="0" width="60"/>
    <col collapsed="false" customWidth="true" hidden="false" outlineLevel="0" max="18" min="18" style="0" width="50"/>
  </cols>
  <sheetData>
    <row r="1" customFormat="false" ht="39.5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s">
        <v>18</v>
      </c>
      <c r="C2" s="0" t="s">
        <v>19</v>
      </c>
      <c r="D2" s="0" t="s">
        <v>20</v>
      </c>
      <c r="E2" s="0" t="s">
        <v>21</v>
      </c>
      <c r="G2" s="0" t="s">
        <v>22</v>
      </c>
      <c r="H2" s="0" t="n">
        <v>2</v>
      </c>
      <c r="I2" s="0" t="n">
        <v>280</v>
      </c>
      <c r="J2" s="0" t="n">
        <v>260</v>
      </c>
      <c r="K2" s="0" t="s">
        <v>22</v>
      </c>
      <c r="L2" s="2" t="s">
        <v>23</v>
      </c>
    </row>
    <row r="3" customFormat="false" ht="15" hidden="false" customHeight="false" outlineLevel="0" collapsed="false">
      <c r="A3" s="0" t="s">
        <v>24</v>
      </c>
      <c r="C3" s="0" t="s">
        <v>19</v>
      </c>
      <c r="D3" s="0" t="s">
        <v>20</v>
      </c>
      <c r="E3" s="0" t="s">
        <v>25</v>
      </c>
      <c r="G3" s="0" t="s">
        <v>22</v>
      </c>
      <c r="H3" s="0" t="n">
        <v>38</v>
      </c>
      <c r="I3" s="0" t="n">
        <v>250</v>
      </c>
      <c r="J3" s="0" t="n">
        <v>230</v>
      </c>
      <c r="K3" s="0" t="s">
        <v>22</v>
      </c>
      <c r="L3" s="3" t="s">
        <v>26</v>
      </c>
      <c r="M3" s="4" t="s">
        <v>27</v>
      </c>
      <c r="N3" s="5" t="n">
        <v>185</v>
      </c>
      <c r="O3" s="6" t="n">
        <f aca="false">I3-N3</f>
        <v>65</v>
      </c>
      <c r="P3" s="7" t="n">
        <f aca="false">IFERROR(I3/N3-1,"")</f>
        <v>0.351351351351351</v>
      </c>
      <c r="Q3" s="8" t="s">
        <v>28</v>
      </c>
    </row>
    <row r="4" customFormat="false" ht="15" hidden="false" customHeight="false" outlineLevel="0" collapsed="false">
      <c r="A4" s="0" t="s">
        <v>29</v>
      </c>
      <c r="C4" s="0" t="s">
        <v>19</v>
      </c>
      <c r="D4" s="0" t="s">
        <v>20</v>
      </c>
      <c r="E4" s="0" t="s">
        <v>30</v>
      </c>
      <c r="G4" s="0" t="s">
        <v>22</v>
      </c>
      <c r="H4" s="0" t="n">
        <v>2</v>
      </c>
      <c r="I4" s="0" t="n">
        <v>515</v>
      </c>
      <c r="J4" s="0" t="n">
        <v>500</v>
      </c>
      <c r="K4" s="0" t="s">
        <v>22</v>
      </c>
      <c r="L4" s="3" t="s">
        <v>26</v>
      </c>
      <c r="M4" s="4" t="s">
        <v>31</v>
      </c>
      <c r="N4" s="5" t="n">
        <v>515</v>
      </c>
      <c r="O4" s="6" t="n">
        <f aca="false">I4-N4</f>
        <v>0</v>
      </c>
      <c r="P4" s="7" t="n">
        <f aca="false">IFERROR(I4/N4-1,"")</f>
        <v>0</v>
      </c>
      <c r="Q4" s="8" t="s">
        <v>32</v>
      </c>
    </row>
    <row r="5" customFormat="false" ht="15" hidden="false" customHeight="false" outlineLevel="0" collapsed="false">
      <c r="A5" s="0" t="s">
        <v>33</v>
      </c>
      <c r="C5" s="0" t="s">
        <v>34</v>
      </c>
      <c r="D5" s="0" t="s">
        <v>20</v>
      </c>
      <c r="E5" s="0" t="s">
        <v>35</v>
      </c>
      <c r="G5" s="0" t="s">
        <v>22</v>
      </c>
      <c r="H5" s="0" t="n">
        <v>0</v>
      </c>
      <c r="I5" s="0" t="n">
        <v>120</v>
      </c>
      <c r="J5" s="0" t="n">
        <v>110</v>
      </c>
      <c r="K5" s="0" t="s">
        <v>22</v>
      </c>
      <c r="L5" s="3" t="s">
        <v>26</v>
      </c>
      <c r="M5" s="4" t="s">
        <v>36</v>
      </c>
      <c r="N5" s="5" t="n">
        <v>105</v>
      </c>
      <c r="O5" s="6" t="n">
        <f aca="false">I5-N5</f>
        <v>15</v>
      </c>
      <c r="P5" s="7" t="n">
        <f aca="false">IFERROR(I5/N5-1,"")</f>
        <v>0.142857142857143</v>
      </c>
      <c r="Q5" s="8" t="s">
        <v>37</v>
      </c>
    </row>
    <row r="6" customFormat="false" ht="15" hidden="false" customHeight="false" outlineLevel="0" collapsed="false">
      <c r="A6" s="0" t="s">
        <v>38</v>
      </c>
      <c r="C6" s="0" t="s">
        <v>19</v>
      </c>
      <c r="D6" s="0" t="s">
        <v>20</v>
      </c>
      <c r="E6" s="0" t="s">
        <v>39</v>
      </c>
      <c r="G6" s="0" t="s">
        <v>22</v>
      </c>
      <c r="H6" s="0" t="n">
        <v>0</v>
      </c>
      <c r="I6" s="0" t="n">
        <v>500</v>
      </c>
      <c r="J6" s="0" t="n">
        <v>550</v>
      </c>
      <c r="K6" s="0" t="s">
        <v>22</v>
      </c>
      <c r="L6" s="3" t="s">
        <v>26</v>
      </c>
      <c r="M6" s="4" t="s">
        <v>40</v>
      </c>
      <c r="N6" s="5" t="n">
        <v>579</v>
      </c>
      <c r="O6" s="6" t="n">
        <f aca="false">I6-N6</f>
        <v>-79</v>
      </c>
      <c r="P6" s="7" t="n">
        <f aca="false">IFERROR(I6/N6-1,"")</f>
        <v>-0.136442141623489</v>
      </c>
      <c r="Q6" s="8" t="s">
        <v>41</v>
      </c>
    </row>
    <row r="7" customFormat="false" ht="15" hidden="false" customHeight="false" outlineLevel="0" collapsed="false">
      <c r="A7" s="0" t="s">
        <v>42</v>
      </c>
      <c r="C7" s="0" t="s">
        <v>43</v>
      </c>
      <c r="D7" s="0" t="s">
        <v>20</v>
      </c>
      <c r="E7" s="0" t="s">
        <v>44</v>
      </c>
      <c r="G7" s="0" t="s">
        <v>22</v>
      </c>
      <c r="H7" s="0" t="n">
        <v>1</v>
      </c>
      <c r="I7" s="0" t="n">
        <v>160</v>
      </c>
      <c r="J7" s="0" t="n">
        <v>150</v>
      </c>
      <c r="K7" s="0" t="s">
        <v>22</v>
      </c>
      <c r="L7" s="2" t="s">
        <v>23</v>
      </c>
      <c r="R7" s="4" t="s">
        <v>45</v>
      </c>
    </row>
    <row r="8" customFormat="false" ht="15" hidden="false" customHeight="false" outlineLevel="0" collapsed="false">
      <c r="A8" s="0" t="s">
        <v>46</v>
      </c>
      <c r="C8" s="0" t="s">
        <v>19</v>
      </c>
      <c r="D8" s="0" t="s">
        <v>20</v>
      </c>
      <c r="E8" s="0" t="s">
        <v>47</v>
      </c>
      <c r="G8" s="0" t="s">
        <v>22</v>
      </c>
      <c r="H8" s="0" t="n">
        <v>64</v>
      </c>
      <c r="I8" s="0" t="n">
        <v>25</v>
      </c>
      <c r="J8" s="0" t="n">
        <v>23</v>
      </c>
      <c r="K8" s="0" t="s">
        <v>22</v>
      </c>
      <c r="L8" s="2" t="s">
        <v>23</v>
      </c>
      <c r="R8" s="4" t="s">
        <v>48</v>
      </c>
    </row>
    <row r="9" customFormat="false" ht="15" hidden="false" customHeight="false" outlineLevel="0" collapsed="false">
      <c r="A9" s="0" t="s">
        <v>49</v>
      </c>
      <c r="C9" s="0" t="s">
        <v>19</v>
      </c>
      <c r="D9" s="0" t="s">
        <v>20</v>
      </c>
      <c r="E9" s="0" t="s">
        <v>50</v>
      </c>
      <c r="G9" s="0" t="s">
        <v>22</v>
      </c>
      <c r="H9" s="0" t="n">
        <v>0</v>
      </c>
      <c r="I9" s="0" t="n">
        <v>750</v>
      </c>
      <c r="J9" s="0" t="n">
        <v>700</v>
      </c>
      <c r="K9" s="0" t="s">
        <v>22</v>
      </c>
      <c r="L9" s="3" t="s">
        <v>26</v>
      </c>
      <c r="M9" s="4" t="s">
        <v>51</v>
      </c>
      <c r="N9" s="5" t="n">
        <v>749</v>
      </c>
      <c r="O9" s="6" t="n">
        <f aca="false">I9-N9</f>
        <v>1</v>
      </c>
      <c r="P9" s="7" t="n">
        <f aca="false">IFERROR(I9/N9-1,"")</f>
        <v>0.00133511348464621</v>
      </c>
      <c r="Q9" s="8" t="s">
        <v>52</v>
      </c>
      <c r="R9" s="4" t="s">
        <v>53</v>
      </c>
    </row>
    <row r="10" customFormat="false" ht="15" hidden="false" customHeight="false" outlineLevel="0" collapsed="false">
      <c r="A10" s="0" t="s">
        <v>54</v>
      </c>
      <c r="C10" s="0" t="s">
        <v>19</v>
      </c>
      <c r="D10" s="0" t="s">
        <v>20</v>
      </c>
      <c r="E10" s="0" t="s">
        <v>55</v>
      </c>
      <c r="G10" s="0" t="s">
        <v>22</v>
      </c>
      <c r="H10" s="0" t="n">
        <v>0</v>
      </c>
      <c r="I10" s="0" t="n">
        <v>650</v>
      </c>
      <c r="J10" s="0" t="n">
        <v>600</v>
      </c>
      <c r="K10" s="0" t="s">
        <v>22</v>
      </c>
      <c r="L10" s="9" t="s">
        <v>56</v>
      </c>
      <c r="M10" s="4" t="s">
        <v>57</v>
      </c>
      <c r="N10" s="5" t="n">
        <v>135</v>
      </c>
      <c r="O10" s="6" t="n">
        <f aca="false">I10-N10</f>
        <v>515</v>
      </c>
      <c r="P10" s="7" t="n">
        <f aca="false">IFERROR(I10/N10-1,"")</f>
        <v>3.81481481481482</v>
      </c>
      <c r="Q10" s="8" t="s">
        <v>58</v>
      </c>
      <c r="R10" s="4" t="s">
        <v>59</v>
      </c>
    </row>
    <row r="11" customFormat="false" ht="15" hidden="false" customHeight="false" outlineLevel="0" collapsed="false">
      <c r="A11" s="0" t="s">
        <v>60</v>
      </c>
      <c r="C11" s="0" t="s">
        <v>19</v>
      </c>
      <c r="D11" s="0" t="s">
        <v>20</v>
      </c>
      <c r="E11" s="0" t="s">
        <v>61</v>
      </c>
      <c r="G11" s="0" t="s">
        <v>22</v>
      </c>
      <c r="H11" s="0" t="n">
        <v>16</v>
      </c>
      <c r="I11" s="0" t="n">
        <v>350</v>
      </c>
      <c r="J11" s="0" t="n">
        <v>340</v>
      </c>
      <c r="K11" s="0" t="s">
        <v>22</v>
      </c>
      <c r="L11" s="9" t="s">
        <v>56</v>
      </c>
      <c r="M11" s="4" t="s">
        <v>62</v>
      </c>
      <c r="N11" s="5" t="n">
        <v>745</v>
      </c>
      <c r="O11" s="6" t="n">
        <f aca="false">I11-N11</f>
        <v>-395</v>
      </c>
      <c r="P11" s="7" t="n">
        <f aca="false">IFERROR(I11/N11-1,"")</f>
        <v>-0.530201342281879</v>
      </c>
      <c r="Q11" s="8" t="s">
        <v>63</v>
      </c>
      <c r="R11" s="4" t="s">
        <v>64</v>
      </c>
    </row>
    <row r="12" customFormat="false" ht="15" hidden="false" customHeight="false" outlineLevel="0" collapsed="false">
      <c r="A12" s="0" t="s">
        <v>65</v>
      </c>
      <c r="C12" s="0" t="s">
        <v>19</v>
      </c>
      <c r="D12" s="0" t="s">
        <v>20</v>
      </c>
      <c r="E12" s="0" t="s">
        <v>66</v>
      </c>
      <c r="G12" s="0" t="s">
        <v>22</v>
      </c>
      <c r="H12" s="0" t="n">
        <v>42</v>
      </c>
      <c r="I12" s="0" t="n">
        <v>80</v>
      </c>
      <c r="J12" s="0" t="n">
        <v>75</v>
      </c>
      <c r="K12" s="0" t="s">
        <v>22</v>
      </c>
      <c r="L12" s="2" t="s">
        <v>23</v>
      </c>
      <c r="R12" s="4" t="s">
        <v>67</v>
      </c>
    </row>
    <row r="13" customFormat="false" ht="15" hidden="false" customHeight="false" outlineLevel="0" collapsed="false">
      <c r="A13" s="0" t="s">
        <v>68</v>
      </c>
      <c r="C13" s="0" t="s">
        <v>69</v>
      </c>
      <c r="D13" s="0" t="s">
        <v>20</v>
      </c>
      <c r="E13" s="0" t="s">
        <v>70</v>
      </c>
      <c r="G13" s="0" t="s">
        <v>22</v>
      </c>
      <c r="H13" s="0" t="n">
        <v>3851</v>
      </c>
      <c r="I13" s="0" t="n">
        <v>60</v>
      </c>
      <c r="J13" s="0" t="n">
        <v>55</v>
      </c>
      <c r="K13" s="0" t="s">
        <v>22</v>
      </c>
      <c r="L13" s="2" t="s">
        <v>23</v>
      </c>
      <c r="R13" s="4" t="s">
        <v>71</v>
      </c>
    </row>
    <row r="14" customFormat="false" ht="15" hidden="false" customHeight="false" outlineLevel="0" collapsed="false">
      <c r="A14" s="0" t="s">
        <v>72</v>
      </c>
      <c r="C14" s="0" t="s">
        <v>69</v>
      </c>
      <c r="D14" s="0" t="s">
        <v>20</v>
      </c>
      <c r="E14" s="0" t="s">
        <v>73</v>
      </c>
      <c r="G14" s="0" t="s">
        <v>22</v>
      </c>
      <c r="H14" s="0" t="n">
        <v>5310</v>
      </c>
      <c r="I14" s="0" t="n">
        <v>38</v>
      </c>
      <c r="J14" s="0" t="n">
        <v>45</v>
      </c>
      <c r="K14" s="0" t="s">
        <v>22</v>
      </c>
      <c r="L14" s="2" t="s">
        <v>23</v>
      </c>
    </row>
    <row r="15" customFormat="false" ht="15" hidden="false" customHeight="false" outlineLevel="0" collapsed="false">
      <c r="A15" s="0" t="s">
        <v>74</v>
      </c>
      <c r="C15" s="0" t="s">
        <v>69</v>
      </c>
      <c r="D15" s="0" t="s">
        <v>20</v>
      </c>
      <c r="E15" s="0" t="s">
        <v>75</v>
      </c>
      <c r="G15" s="0" t="s">
        <v>22</v>
      </c>
      <c r="H15" s="0" t="n">
        <v>685</v>
      </c>
      <c r="I15" s="0" t="n">
        <v>120</v>
      </c>
      <c r="J15" s="0" t="n">
        <v>110</v>
      </c>
      <c r="K15" s="0" t="s">
        <v>22</v>
      </c>
      <c r="L15" s="2" t="s">
        <v>23</v>
      </c>
    </row>
    <row r="16" customFormat="false" ht="15" hidden="false" customHeight="false" outlineLevel="0" collapsed="false">
      <c r="A16" s="0" t="s">
        <v>76</v>
      </c>
      <c r="C16" s="0" t="s">
        <v>69</v>
      </c>
      <c r="D16" s="0" t="s">
        <v>20</v>
      </c>
      <c r="E16" s="0" t="s">
        <v>77</v>
      </c>
      <c r="G16" s="0" t="s">
        <v>22</v>
      </c>
      <c r="H16" s="0" t="n">
        <v>2</v>
      </c>
      <c r="I16" s="0" t="n">
        <v>55</v>
      </c>
      <c r="J16" s="0" t="n">
        <v>50</v>
      </c>
      <c r="K16" s="0" t="s">
        <v>22</v>
      </c>
      <c r="L16" s="2" t="s">
        <v>23</v>
      </c>
      <c r="R16" s="4" t="s">
        <v>78</v>
      </c>
    </row>
    <row r="17" customFormat="false" ht="15" hidden="false" customHeight="false" outlineLevel="0" collapsed="false">
      <c r="A17" s="0" t="s">
        <v>79</v>
      </c>
      <c r="C17" s="0" t="s">
        <v>80</v>
      </c>
      <c r="E17" s="0" t="s">
        <v>81</v>
      </c>
      <c r="G17" s="0" t="s">
        <v>22</v>
      </c>
      <c r="H17" s="0" t="n">
        <v>3077</v>
      </c>
      <c r="I17" s="0" t="n">
        <v>40</v>
      </c>
      <c r="J17" s="0" t="n">
        <v>35</v>
      </c>
      <c r="K17" s="0" t="s">
        <v>22</v>
      </c>
      <c r="L17" s="9" t="s">
        <v>82</v>
      </c>
      <c r="M17" s="4" t="s">
        <v>83</v>
      </c>
      <c r="N17" s="5" t="n">
        <v>29.9</v>
      </c>
      <c r="O17" s="6" t="n">
        <f aca="false">I17-N17</f>
        <v>10.1</v>
      </c>
      <c r="P17" s="7" t="n">
        <f aca="false">IFERROR(I17/N17-1,"")</f>
        <v>0.337792642140468</v>
      </c>
      <c r="Q17" s="8" t="s">
        <v>84</v>
      </c>
      <c r="R17" s="4" t="s">
        <v>85</v>
      </c>
    </row>
    <row r="18" customFormat="false" ht="15" hidden="false" customHeight="false" outlineLevel="0" collapsed="false">
      <c r="A18" s="0" t="s">
        <v>86</v>
      </c>
      <c r="C18" s="0" t="s">
        <v>19</v>
      </c>
      <c r="D18" s="0" t="s">
        <v>20</v>
      </c>
      <c r="E18" s="0" t="s">
        <v>87</v>
      </c>
      <c r="G18" s="0" t="s">
        <v>22</v>
      </c>
      <c r="H18" s="0" t="n">
        <v>1</v>
      </c>
      <c r="I18" s="0" t="n">
        <v>150</v>
      </c>
      <c r="J18" s="0" t="n">
        <v>140</v>
      </c>
      <c r="K18" s="0" t="s">
        <v>22</v>
      </c>
      <c r="L18" s="2" t="s">
        <v>23</v>
      </c>
      <c r="R18" s="4" t="s">
        <v>88</v>
      </c>
    </row>
    <row r="19" customFormat="false" ht="15" hidden="false" customHeight="false" outlineLevel="0" collapsed="false">
      <c r="A19" s="0" t="s">
        <v>89</v>
      </c>
      <c r="C19" s="0" t="s">
        <v>19</v>
      </c>
      <c r="D19" s="0" t="s">
        <v>20</v>
      </c>
      <c r="E19" s="0" t="s">
        <v>90</v>
      </c>
      <c r="G19" s="0" t="s">
        <v>22</v>
      </c>
      <c r="H19" s="0" t="n">
        <v>15</v>
      </c>
      <c r="I19" s="0" t="n">
        <v>680</v>
      </c>
      <c r="J19" s="0" t="n">
        <v>660</v>
      </c>
      <c r="K19" s="0" t="s">
        <v>22</v>
      </c>
      <c r="L19" s="3" t="s">
        <v>26</v>
      </c>
      <c r="M19" s="4" t="s">
        <v>91</v>
      </c>
      <c r="N19" s="5" t="n">
        <v>589</v>
      </c>
      <c r="O19" s="6" t="n">
        <f aca="false">I19-N19</f>
        <v>91</v>
      </c>
      <c r="P19" s="7" t="n">
        <f aca="false">IFERROR(I19/N19-1,"")</f>
        <v>0.154499151103565</v>
      </c>
      <c r="Q19" s="8" t="s">
        <v>92</v>
      </c>
    </row>
    <row r="20" customFormat="false" ht="15" hidden="false" customHeight="false" outlineLevel="0" collapsed="false">
      <c r="A20" s="0" t="s">
        <v>93</v>
      </c>
      <c r="C20" s="0" t="s">
        <v>19</v>
      </c>
      <c r="D20" s="0" t="s">
        <v>20</v>
      </c>
      <c r="E20" s="0" t="s">
        <v>94</v>
      </c>
      <c r="G20" s="0" t="s">
        <v>22</v>
      </c>
      <c r="H20" s="0" t="n">
        <v>28</v>
      </c>
      <c r="I20" s="0" t="n">
        <v>770</v>
      </c>
      <c r="J20" s="0" t="n">
        <v>760</v>
      </c>
      <c r="K20" s="0" t="s">
        <v>22</v>
      </c>
      <c r="L20" s="3" t="s">
        <v>26</v>
      </c>
      <c r="M20" s="4" t="s">
        <v>95</v>
      </c>
      <c r="N20" s="5" t="n">
        <v>745</v>
      </c>
      <c r="O20" s="6" t="n">
        <f aca="false">I20-N20</f>
        <v>25</v>
      </c>
      <c r="P20" s="7" t="n">
        <f aca="false">IFERROR(I20/N20-1,"")</f>
        <v>0.0335570469798658</v>
      </c>
      <c r="Q20" s="8" t="s">
        <v>96</v>
      </c>
    </row>
    <row r="21" customFormat="false" ht="15" hidden="false" customHeight="false" outlineLevel="0" collapsed="false">
      <c r="A21" s="0" t="s">
        <v>97</v>
      </c>
      <c r="C21" s="0" t="s">
        <v>19</v>
      </c>
      <c r="D21" s="0" t="s">
        <v>20</v>
      </c>
      <c r="E21" s="0" t="s">
        <v>98</v>
      </c>
      <c r="G21" s="0" t="s">
        <v>22</v>
      </c>
      <c r="H21" s="0" t="n">
        <v>667</v>
      </c>
      <c r="I21" s="0" t="n">
        <v>300</v>
      </c>
      <c r="J21" s="0" t="n">
        <v>300</v>
      </c>
      <c r="K21" s="0" t="s">
        <v>22</v>
      </c>
      <c r="L21" s="3" t="s">
        <v>26</v>
      </c>
      <c r="M21" s="4" t="s">
        <v>99</v>
      </c>
      <c r="N21" s="5" t="n">
        <v>289</v>
      </c>
      <c r="O21" s="6" t="n">
        <f aca="false">I21-N21</f>
        <v>11</v>
      </c>
      <c r="P21" s="7" t="n">
        <f aca="false">IFERROR(I21/N21-1,"")</f>
        <v>0.0380622837370241</v>
      </c>
      <c r="Q21" s="8" t="s">
        <v>100</v>
      </c>
    </row>
    <row r="22" customFormat="false" ht="15" hidden="false" customHeight="false" outlineLevel="0" collapsed="false">
      <c r="A22" s="0" t="s">
        <v>101</v>
      </c>
      <c r="C22" s="0" t="s">
        <v>19</v>
      </c>
      <c r="D22" s="0" t="s">
        <v>20</v>
      </c>
      <c r="E22" s="0" t="s">
        <v>102</v>
      </c>
      <c r="G22" s="0" t="s">
        <v>22</v>
      </c>
      <c r="H22" s="0" t="n">
        <v>223</v>
      </c>
      <c r="I22" s="0" t="n">
        <v>150</v>
      </c>
      <c r="J22" s="0" t="n">
        <v>145</v>
      </c>
      <c r="K22" s="0" t="s">
        <v>22</v>
      </c>
      <c r="L22" s="3" t="s">
        <v>26</v>
      </c>
      <c r="M22" s="4" t="s">
        <v>103</v>
      </c>
      <c r="N22" s="5" t="n">
        <v>125</v>
      </c>
      <c r="O22" s="6" t="n">
        <f aca="false">I22-N22</f>
        <v>25</v>
      </c>
      <c r="P22" s="7" t="n">
        <f aca="false">IFERROR(I22/N22-1,"")</f>
        <v>0.2</v>
      </c>
      <c r="Q22" s="8" t="s">
        <v>104</v>
      </c>
    </row>
    <row r="23" customFormat="false" ht="15" hidden="false" customHeight="false" outlineLevel="0" collapsed="false">
      <c r="A23" s="0" t="s">
        <v>105</v>
      </c>
      <c r="C23" s="0" t="s">
        <v>34</v>
      </c>
      <c r="D23" s="0" t="s">
        <v>20</v>
      </c>
      <c r="E23" s="0" t="s">
        <v>106</v>
      </c>
      <c r="G23" s="0" t="s">
        <v>22</v>
      </c>
      <c r="H23" s="0" t="n">
        <v>124</v>
      </c>
      <c r="I23" s="0" t="n">
        <v>230</v>
      </c>
      <c r="J23" s="0" t="n">
        <v>230</v>
      </c>
      <c r="K23" s="0" t="s">
        <v>22</v>
      </c>
      <c r="L23" s="3" t="s">
        <v>26</v>
      </c>
      <c r="M23" s="4" t="s">
        <v>107</v>
      </c>
      <c r="N23" s="5" t="n">
        <v>190</v>
      </c>
      <c r="O23" s="6" t="n">
        <f aca="false">I23-N23</f>
        <v>40</v>
      </c>
      <c r="P23" s="7" t="n">
        <f aca="false">IFERROR(I23/N23-1,"")</f>
        <v>0.210526315789474</v>
      </c>
      <c r="Q23" s="8" t="s">
        <v>108</v>
      </c>
    </row>
    <row r="24" customFormat="false" ht="15" hidden="false" customHeight="false" outlineLevel="0" collapsed="false">
      <c r="A24" s="0" t="s">
        <v>109</v>
      </c>
      <c r="C24" s="0" t="s">
        <v>34</v>
      </c>
      <c r="D24" s="0" t="s">
        <v>20</v>
      </c>
      <c r="E24" s="0" t="s">
        <v>110</v>
      </c>
      <c r="G24" s="0" t="s">
        <v>22</v>
      </c>
      <c r="H24" s="0" t="n">
        <v>100</v>
      </c>
      <c r="I24" s="0" t="n">
        <v>85</v>
      </c>
      <c r="J24" s="0" t="n">
        <v>75</v>
      </c>
      <c r="K24" s="0" t="s">
        <v>22</v>
      </c>
      <c r="L24" s="3" t="s">
        <v>26</v>
      </c>
      <c r="M24" s="4" t="s">
        <v>111</v>
      </c>
      <c r="N24" s="5" t="n">
        <v>72</v>
      </c>
      <c r="O24" s="6" t="n">
        <f aca="false">I24-N24</f>
        <v>13</v>
      </c>
      <c r="P24" s="7" t="n">
        <f aca="false">IFERROR(I24/N24-1,"")</f>
        <v>0.180555555555556</v>
      </c>
      <c r="Q24" s="8" t="s">
        <v>112</v>
      </c>
    </row>
    <row r="25" customFormat="false" ht="15" hidden="false" customHeight="false" outlineLevel="0" collapsed="false">
      <c r="A25" s="0" t="s">
        <v>109</v>
      </c>
      <c r="B25" s="0" t="s">
        <v>113</v>
      </c>
      <c r="C25" s="0" t="s">
        <v>34</v>
      </c>
      <c r="D25" s="0" t="s">
        <v>20</v>
      </c>
      <c r="E25" s="0" t="s">
        <v>110</v>
      </c>
      <c r="G25" s="0" t="s">
        <v>22</v>
      </c>
      <c r="H25" s="0" t="n">
        <v>52</v>
      </c>
      <c r="I25" s="0" t="n">
        <v>80</v>
      </c>
      <c r="J25" s="0" t="n">
        <v>75</v>
      </c>
      <c r="K25" s="0" t="s">
        <v>22</v>
      </c>
      <c r="L25" s="3" t="s">
        <v>26</v>
      </c>
      <c r="M25" s="4" t="s">
        <v>114</v>
      </c>
      <c r="N25" s="5" t="n">
        <v>72</v>
      </c>
      <c r="O25" s="6" t="n">
        <f aca="false">I25-N25</f>
        <v>8</v>
      </c>
      <c r="P25" s="7" t="n">
        <f aca="false">IFERROR(I25/N25-1,"")</f>
        <v>0.111111111111111</v>
      </c>
      <c r="Q25" s="8" t="s">
        <v>112</v>
      </c>
    </row>
    <row r="26" customFormat="false" ht="15" hidden="false" customHeight="false" outlineLevel="0" collapsed="false">
      <c r="A26" s="0" t="s">
        <v>109</v>
      </c>
      <c r="B26" s="0" t="s">
        <v>115</v>
      </c>
      <c r="C26" s="0" t="s">
        <v>34</v>
      </c>
      <c r="D26" s="0" t="s">
        <v>20</v>
      </c>
      <c r="E26" s="0" t="s">
        <v>110</v>
      </c>
      <c r="G26" s="0" t="s">
        <v>22</v>
      </c>
      <c r="H26" s="0" t="n">
        <v>48</v>
      </c>
      <c r="I26" s="0" t="n">
        <v>80</v>
      </c>
      <c r="J26" s="0" t="n">
        <v>75</v>
      </c>
      <c r="K26" s="0" t="s">
        <v>22</v>
      </c>
      <c r="L26" s="3" t="s">
        <v>26</v>
      </c>
      <c r="M26" s="4" t="s">
        <v>116</v>
      </c>
      <c r="N26" s="5" t="n">
        <v>72</v>
      </c>
      <c r="O26" s="6" t="n">
        <f aca="false">I26-N26</f>
        <v>8</v>
      </c>
      <c r="P26" s="7" t="n">
        <f aca="false">IFERROR(I26/N26-1,"")</f>
        <v>0.111111111111111</v>
      </c>
      <c r="Q26" s="8" t="s">
        <v>117</v>
      </c>
    </row>
    <row r="27" customFormat="false" ht="15" hidden="false" customHeight="false" outlineLevel="0" collapsed="false">
      <c r="A27" s="0" t="s">
        <v>118</v>
      </c>
      <c r="C27" s="0" t="s">
        <v>19</v>
      </c>
      <c r="D27" s="0" t="s">
        <v>20</v>
      </c>
      <c r="E27" s="0" t="s">
        <v>119</v>
      </c>
      <c r="G27" s="0" t="s">
        <v>22</v>
      </c>
      <c r="H27" s="0" t="n">
        <v>4730</v>
      </c>
      <c r="I27" s="0" t="n">
        <v>20</v>
      </c>
      <c r="J27" s="0" t="n">
        <v>18</v>
      </c>
      <c r="K27" s="0" t="s">
        <v>22</v>
      </c>
      <c r="L27" s="3" t="s">
        <v>26</v>
      </c>
      <c r="M27" s="4" t="s">
        <v>120</v>
      </c>
      <c r="N27" s="5" t="n">
        <v>15.5</v>
      </c>
      <c r="O27" s="6" t="n">
        <f aca="false">I27-N27</f>
        <v>4.5</v>
      </c>
      <c r="P27" s="7" t="n">
        <f aca="false">IFERROR(I27/N27-1,"")</f>
        <v>0.290322580645161</v>
      </c>
      <c r="Q27" s="8" t="s">
        <v>121</v>
      </c>
    </row>
    <row r="28" customFormat="false" ht="15" hidden="false" customHeight="false" outlineLevel="0" collapsed="false">
      <c r="A28" s="0" t="s">
        <v>122</v>
      </c>
      <c r="C28" s="0" t="s">
        <v>34</v>
      </c>
      <c r="D28" s="0" t="s">
        <v>20</v>
      </c>
      <c r="E28" s="0" t="s">
        <v>123</v>
      </c>
      <c r="G28" s="0" t="s">
        <v>22</v>
      </c>
      <c r="H28" s="0" t="n">
        <v>74</v>
      </c>
      <c r="I28" s="0" t="n">
        <v>220</v>
      </c>
      <c r="J28" s="0" t="n">
        <v>215</v>
      </c>
      <c r="K28" s="0" t="s">
        <v>22</v>
      </c>
      <c r="L28" s="3" t="s">
        <v>26</v>
      </c>
      <c r="M28" s="4" t="s">
        <v>124</v>
      </c>
      <c r="N28" s="5" t="n">
        <v>219</v>
      </c>
      <c r="O28" s="6" t="n">
        <f aca="false">I28-N28</f>
        <v>1</v>
      </c>
      <c r="P28" s="7" t="n">
        <f aca="false">IFERROR(I28/N28-1,"")</f>
        <v>0.00456621004566205</v>
      </c>
      <c r="Q28" s="8" t="s">
        <v>125</v>
      </c>
    </row>
    <row r="29" customFormat="false" ht="15" hidden="false" customHeight="false" outlineLevel="0" collapsed="false">
      <c r="A29" s="0" t="s">
        <v>126</v>
      </c>
      <c r="C29" s="0" t="s">
        <v>127</v>
      </c>
      <c r="D29" s="0" t="s">
        <v>20</v>
      </c>
      <c r="E29" s="0" t="s">
        <v>128</v>
      </c>
      <c r="G29" s="0" t="s">
        <v>22</v>
      </c>
      <c r="H29" s="0" t="n">
        <v>21</v>
      </c>
      <c r="I29" s="0" t="n">
        <v>65.61</v>
      </c>
      <c r="J29" s="0" t="n">
        <v>60.75</v>
      </c>
      <c r="K29" s="0" t="s">
        <v>22</v>
      </c>
      <c r="L29" s="2" t="s">
        <v>23</v>
      </c>
      <c r="R29" s="4" t="s">
        <v>129</v>
      </c>
    </row>
    <row r="30" customFormat="false" ht="15" hidden="false" customHeight="false" outlineLevel="0" collapsed="false">
      <c r="A30" s="0" t="s">
        <v>130</v>
      </c>
      <c r="C30" s="0" t="s">
        <v>127</v>
      </c>
      <c r="D30" s="0" t="s">
        <v>20</v>
      </c>
      <c r="E30" s="0" t="s">
        <v>131</v>
      </c>
      <c r="G30" s="0" t="s">
        <v>22</v>
      </c>
      <c r="H30" s="0" t="n">
        <v>8</v>
      </c>
      <c r="I30" s="0" t="n">
        <v>74.52</v>
      </c>
      <c r="J30" s="0" t="n">
        <v>69</v>
      </c>
      <c r="K30" s="0" t="s">
        <v>22</v>
      </c>
      <c r="L30" s="2" t="s">
        <v>23</v>
      </c>
      <c r="R30" s="4" t="s">
        <v>129</v>
      </c>
    </row>
    <row r="31" customFormat="false" ht="15" hidden="false" customHeight="false" outlineLevel="0" collapsed="false">
      <c r="A31" s="0" t="s">
        <v>132</v>
      </c>
      <c r="C31" s="0" t="s">
        <v>127</v>
      </c>
      <c r="D31" s="0" t="s">
        <v>20</v>
      </c>
      <c r="E31" s="0" t="s">
        <v>133</v>
      </c>
      <c r="G31" s="0" t="s">
        <v>22</v>
      </c>
      <c r="H31" s="0" t="n">
        <v>258</v>
      </c>
      <c r="I31" s="0" t="n">
        <v>65.61</v>
      </c>
      <c r="J31" s="0" t="n">
        <v>60.75</v>
      </c>
      <c r="K31" s="0" t="s">
        <v>22</v>
      </c>
      <c r="L31" s="2" t="s">
        <v>23</v>
      </c>
      <c r="R31" s="4" t="s">
        <v>129</v>
      </c>
    </row>
    <row r="32" customFormat="false" ht="15" hidden="false" customHeight="false" outlineLevel="0" collapsed="false">
      <c r="A32" s="0" t="s">
        <v>134</v>
      </c>
      <c r="C32" s="0" t="s">
        <v>127</v>
      </c>
      <c r="D32" s="0" t="s">
        <v>20</v>
      </c>
      <c r="E32" s="0" t="s">
        <v>135</v>
      </c>
      <c r="G32" s="0" t="s">
        <v>22</v>
      </c>
      <c r="H32" s="0" t="n">
        <v>79</v>
      </c>
      <c r="I32" s="0" t="n">
        <v>65.61</v>
      </c>
      <c r="J32" s="0" t="n">
        <v>60.75</v>
      </c>
      <c r="K32" s="0" t="s">
        <v>22</v>
      </c>
      <c r="L32" s="2" t="s">
        <v>23</v>
      </c>
      <c r="R32" s="4" t="s">
        <v>129</v>
      </c>
    </row>
    <row r="33" customFormat="false" ht="15" hidden="false" customHeight="false" outlineLevel="0" collapsed="false">
      <c r="A33" s="0" t="s">
        <v>136</v>
      </c>
      <c r="C33" s="0" t="s">
        <v>127</v>
      </c>
      <c r="D33" s="0" t="s">
        <v>20</v>
      </c>
      <c r="E33" s="0" t="s">
        <v>137</v>
      </c>
      <c r="G33" s="0" t="s">
        <v>22</v>
      </c>
      <c r="H33" s="0" t="n">
        <v>146</v>
      </c>
      <c r="I33" s="0" t="n">
        <v>65.61</v>
      </c>
      <c r="J33" s="0" t="n">
        <v>60.75</v>
      </c>
      <c r="K33" s="0" t="s">
        <v>22</v>
      </c>
      <c r="L33" s="2" t="s">
        <v>23</v>
      </c>
      <c r="R33" s="4" t="s">
        <v>129</v>
      </c>
    </row>
    <row r="34" customFormat="false" ht="15" hidden="false" customHeight="false" outlineLevel="0" collapsed="false">
      <c r="A34" s="0" t="s">
        <v>138</v>
      </c>
      <c r="C34" s="0" t="s">
        <v>127</v>
      </c>
      <c r="D34" s="0" t="s">
        <v>20</v>
      </c>
      <c r="E34" s="0" t="s">
        <v>139</v>
      </c>
      <c r="G34" s="0" t="s">
        <v>22</v>
      </c>
      <c r="H34" s="0" t="n">
        <v>150</v>
      </c>
      <c r="I34" s="0" t="n">
        <v>65.61</v>
      </c>
      <c r="J34" s="0" t="n">
        <v>60.75</v>
      </c>
      <c r="K34" s="0" t="s">
        <v>22</v>
      </c>
      <c r="L34" s="2" t="s">
        <v>23</v>
      </c>
      <c r="R34" s="4" t="s">
        <v>129</v>
      </c>
    </row>
    <row r="35" customFormat="false" ht="15" hidden="false" customHeight="false" outlineLevel="0" collapsed="false">
      <c r="A35" s="0" t="s">
        <v>140</v>
      </c>
      <c r="C35" s="0" t="s">
        <v>19</v>
      </c>
      <c r="D35" s="0" t="s">
        <v>20</v>
      </c>
      <c r="E35" s="0" t="s">
        <v>141</v>
      </c>
      <c r="G35" s="0" t="s">
        <v>22</v>
      </c>
      <c r="H35" s="0" t="n">
        <v>54</v>
      </c>
      <c r="I35" s="0" t="n">
        <v>80</v>
      </c>
      <c r="J35" s="0" t="n">
        <v>75</v>
      </c>
      <c r="K35" s="0" t="s">
        <v>22</v>
      </c>
      <c r="L35" s="2" t="s">
        <v>23</v>
      </c>
      <c r="R35" s="4" t="s">
        <v>142</v>
      </c>
    </row>
    <row r="36" customFormat="false" ht="15" hidden="false" customHeight="false" outlineLevel="0" collapsed="false">
      <c r="A36" s="0" t="s">
        <v>143</v>
      </c>
      <c r="C36" s="0" t="s">
        <v>19</v>
      </c>
      <c r="D36" s="0" t="s">
        <v>20</v>
      </c>
      <c r="E36" s="0" t="s">
        <v>144</v>
      </c>
      <c r="G36" s="0" t="s">
        <v>22</v>
      </c>
      <c r="H36" s="0" t="n">
        <v>2</v>
      </c>
      <c r="I36" s="0" t="n">
        <v>750</v>
      </c>
      <c r="J36" s="0" t="n">
        <v>750</v>
      </c>
      <c r="K36" s="0" t="s">
        <v>22</v>
      </c>
      <c r="L36" s="2" t="s">
        <v>23</v>
      </c>
      <c r="R36" s="4" t="s">
        <v>145</v>
      </c>
    </row>
    <row r="38" customFormat="false" ht="15" hidden="false" customHeight="false" outlineLevel="0" collapsed="false">
      <c r="A38" s="10" t="s">
        <v>146</v>
      </c>
    </row>
  </sheetData>
  <hyperlinks>
    <hyperlink ref="Q3" r:id="rId1" display="https://www.bricoma.ma/sikagrout-212-m-sac-de-25kg.html"/>
    <hyperlink ref="Q4" r:id="rId2" display="https://www.bricoma.ma/conservado-impermeabilisation-incolore-pour-la-protection-des-facades-7.html"/>
    <hyperlink ref="Q5" r:id="rId3" display="https://www.bricoma.ma/sikaflex-pro-3-concrete-grey-c300ml.html"/>
    <hyperlink ref="Q6" r:id="rId4" display="https://www.bricoma.ma/sikacrete-ucs-m-kit-3kg-1.html"/>
    <hyperlink ref="Q9" r:id="rId5" display="https://www.bricoma.ma/conservado-impermeabilisation-incolore-pour-la-protection-des-facades.html"/>
    <hyperlink ref="Q10" r:id="rId6" display="https://www.bricoma.ma/bandes-pour-joints-de-dilatation-internes-d19-rouleau-de-15m-7.html"/>
    <hyperlink ref="Q11" r:id="rId7" display="https://www.bricoma.ma/sika-mortier-rapide-seau-de-05kg-1.html"/>
    <hyperlink ref="Q17" r:id="rId8" display="https://www.bricoma.ma/conservado-impermeabilisation-incolore-pour-la-protection-des-facades-10.html"/>
    <hyperlink ref="Q19" r:id="rId9" display="https://www.bricoma.ma/kit-sikatop-121.html"/>
    <hyperlink ref="Q20" r:id="rId10" display="https://www.bricoma.ma/kit-sikatop-122.html"/>
    <hyperlink ref="Q21" r:id="rId11" display="https://www.bricoma.ma/sikagrout-212-m-sac-de-25kg-3.html"/>
    <hyperlink ref="Q22" r:id="rId12" display="https://www.bricoma.ma/sikagrout-212-m-sac-de-25kg-7.html"/>
    <hyperlink ref="Q23" r:id="rId13" display="https://www.bricoma.ma/sikatop-armatec-108-m-kit-de-5kg-3.html"/>
    <hyperlink ref="Q24" r:id="rId14" display="https://www.bricoma.ma/sikaflex-pro11-fc-blanc-cartouche-de-310ml.html"/>
    <hyperlink ref="Q25" r:id="rId15" display="https://www.bricoma.ma/sikaflex-pro11-fc-blanc-cartouche-de-310ml.html"/>
    <hyperlink ref="Q26" r:id="rId16" display="https://www.bricoma.ma/sikaflex-pro11-fc-gris-cartouche-de-310ml.html"/>
    <hyperlink ref="Q27" r:id="rId17" display="https://www.bricoma.ma/conservado-impermeabilisation-incolore-pour-la-protection-des-facades-4.html"/>
    <hyperlink ref="Q28" r:id="rId18" display="https://www.bricoma.ma/sikaflex-112-crystal-clear-1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2026-10-10T20:00:51Z</dcterms:created>
  <dc:creator>openpyxl</dc:creator>
  <dc:description/>
  <dc:language>en-US</dc:language>
  <cp:lastModifiedBy/>
  <dcterms:modified xsi:type="dcterms:W3CDTF">2026-10-10T20:00:51Z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