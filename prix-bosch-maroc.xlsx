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x Bosch" sheetId="1" state="visible" r:id="rId3"/>
  </sheets>
  <definedNames>
    <definedName function="false" hidden="true" localSheetId="0" name="_xlnm._FilterDatabase" vbProcedure="false">'Prix Bosch'!$A$1:$R$59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<sst xmlns="http://schemas.openxmlformats.org/spreadsheetml/2006/main" count="268" uniqueCount="182">
  <si>
    <t xml:space="preserve">Désignation</t>
  </si>
  <si>
    <t xml:space="preserve">Référence</t>
  </si>
  <si>
    <t xml:space="preserve">Stock</t>
  </si>
  <si>
    <t xml:space="preserve">Prix actuel</t>
  </si>
  <si>
    <t xml:space="preserve">Prix Bricoma</t>
  </si>
  <si>
    <t xml:space="preserve">Lien Bricoma</t>
  </si>
  <si>
    <t xml:space="preserve">Prix Mr Bricolage</t>
  </si>
  <si>
    <t xml:space="preserve">Lien Mr Bricolage</t>
  </si>
  <si>
    <t xml:space="preserve">Prix Bricop</t>
  </si>
  <si>
    <t xml:space="preserve">Lien Bricop</t>
  </si>
  <si>
    <t xml:space="preserve">Prix Outillage Aouami</t>
  </si>
  <si>
    <t xml:space="preserve">Lien Outillage Aouami</t>
  </si>
  <si>
    <t xml:space="preserve">Nb sites</t>
  </si>
  <si>
    <t xml:space="preserve">Prix retenu</t>
  </si>
  <si>
    <t xml:space="preserve">Méthode</t>
  </si>
  <si>
    <t xml:space="preserve">Écart (actuel − retenu)</t>
  </si>
  <si>
    <t xml:space="preserve">Écart %</t>
  </si>
  <si>
    <t xml:space="preserve">Remarque</t>
  </si>
  <si>
    <t xml:space="preserve">BOSCH 22 × 450 mm Mèche à Béton (2608836645)</t>
  </si>
  <si>
    <t xml:space="preserve">5299</t>
  </si>
  <si>
    <t xml:space="preserve">Introuvable en ligne au Maroc (Bricoma vend un 22×450 de marque Tivoly, pas Bosch)</t>
  </si>
  <si>
    <t xml:space="preserve">BOSCH GLL 80 - 33 g Niveau Laser</t>
  </si>
  <si>
    <t xml:space="preserve">3883</t>
  </si>
  <si>
    <t xml:space="preserve">Voir produit</t>
  </si>
  <si>
    <t xml:space="preserve">GLL 80-33 G (3 plans verts)</t>
  </si>
  <si>
    <t xml:space="preserve">BOSCH 100 m Laser</t>
  </si>
  <si>
    <t xml:space="preserve">3882</t>
  </si>
  <si>
    <t xml:space="preserve">Supposé télémètre GLM 100-25 C</t>
  </si>
  <si>
    <t xml:space="preserve">BOSCH GLL 12 - 22 g Niveau Laser Vert</t>
  </si>
  <si>
    <t xml:space="preserve">3881</t>
  </si>
  <si>
    <t xml:space="preserve">GLL 12-22 G (vert). La version rouge GLL 12-22 est à 799 chez Mr Bricolage</t>
  </si>
  <si>
    <t xml:space="preserve">BOSCH 120 m Laser</t>
  </si>
  <si>
    <t xml:space="preserve">3880</t>
  </si>
  <si>
    <t xml:space="preserve">À vérifier : supposé GLM 120 C, mais votre prix (1 200) est très inférieur</t>
  </si>
  <si>
    <t xml:space="preserve">BOSCH 50 m Laser</t>
  </si>
  <si>
    <t xml:space="preserve">3879</t>
  </si>
  <si>
    <t xml:space="preserve">Mr Bricolage : GLM 50-22 ; Bricop : GLM 50 C</t>
  </si>
  <si>
    <t xml:space="preserve">BOSCH 40 m Laser</t>
  </si>
  <si>
    <t xml:space="preserve">3878</t>
  </si>
  <si>
    <t xml:space="preserve">Télémètre GLM 40</t>
  </si>
  <si>
    <t xml:space="preserve">BOSCH INOX 12 Foret</t>
  </si>
  <si>
    <t xml:space="preserve">3272</t>
  </si>
  <si>
    <t xml:space="preserve">Introuvable en ligne au Maroc</t>
  </si>
  <si>
    <t xml:space="preserve">Foret à Béton 20 × 450 mm, SDS Plus - BOSCH</t>
  </si>
  <si>
    <t xml:space="preserve">7649</t>
  </si>
  <si>
    <t xml:space="preserve">Introuvable en ligne au Maroc (Bosch SDS plus-5X vendu jusqu’à 16 mm)</t>
  </si>
  <si>
    <t xml:space="preserve">Foret à Béton 14 × 260 mm, SDS Plus - BOSCH</t>
  </si>
  <si>
    <t xml:space="preserve">7648</t>
  </si>
  <si>
    <t xml:space="preserve">SDS plus-5X 14×200×260</t>
  </si>
  <si>
    <t xml:space="preserve">Foret à Béton 12 × 460 mm, SDS Plus - BOSCH</t>
  </si>
  <si>
    <t xml:space="preserve">7647</t>
  </si>
  <si>
    <t xml:space="preserve">SDS plus-5X 12×400×460</t>
  </si>
  <si>
    <t xml:space="preserve">Foret à Béton 14 × 160 mm, SDS Plus Réf 706 - BOSCH</t>
  </si>
  <si>
    <t xml:space="preserve">7576</t>
  </si>
  <si>
    <t xml:space="preserve">SDS plus-5X 14×100×160</t>
  </si>
  <si>
    <t xml:space="preserve">Charbon Standard - BOSCH</t>
  </si>
  <si>
    <t xml:space="preserve">7372</t>
  </si>
  <si>
    <t xml:space="preserve">Introuvable en ligne au Maroc (charbons vendus par modèle de machine)</t>
  </si>
  <si>
    <t xml:space="preserve">Niveau Optique GOL 32 + Jauge de Niveau de Fluide GR 500 + BT 170 HD - BOSCH</t>
  </si>
  <si>
    <t xml:space="preserve">6996</t>
  </si>
  <si>
    <t xml:space="preserve">Pas de kit en ligne : somme des 3 articles. Bricoma = GOL 32 G 2 925 + mire GR 500 710 + trépied BT 170 HB 1 079 ; Bricop = GOL 32 G 2 983 + GR 500 709 + BT 170 HD 919</t>
  </si>
  <si>
    <t xml:space="preserve">Mètre Laser BOSCH 25 m</t>
  </si>
  <si>
    <t xml:space="preserve">6632</t>
  </si>
  <si>
    <t xml:space="preserve">Télémètre GLM 25-23</t>
  </si>
  <si>
    <t xml:space="preserve">LAME SCIE SAUTEUSE BOSCH 1 Pièces</t>
  </si>
  <si>
    <t xml:space="preserve">6081</t>
  </si>
  <si>
    <t xml:space="preserve">Introuvable en ligne au Maroc (lames vendues en cartes de 3 ou 5)</t>
  </si>
  <si>
    <t xml:space="preserve">Foret à béton SDS Plus 12 × 210 mm - Réf. 706 - BOSCH</t>
  </si>
  <si>
    <t xml:space="preserve">5500</t>
  </si>
  <si>
    <t xml:space="preserve">SDS plus-5X 12×150×210</t>
  </si>
  <si>
    <t xml:space="preserve">ASPIRATEURE BOSCH 1100W 15L 15PCS</t>
  </si>
  <si>
    <t xml:space="preserve">5457</t>
  </si>
  <si>
    <t xml:space="preserve">Supposé GAS 15 (1 100 W, 15 L)</t>
  </si>
  <si>
    <t xml:space="preserve">PERFORATEUR BOSCH GBH220 720W</t>
  </si>
  <si>
    <t xml:space="preserve">5302</t>
  </si>
  <si>
    <t xml:space="preserve">GBH 220</t>
  </si>
  <si>
    <t xml:space="preserve">Foret à Béton 10 × 160 mm, SDS Plus Réf 706 - BOSCH</t>
  </si>
  <si>
    <t xml:space="preserve">5301</t>
  </si>
  <si>
    <t xml:space="preserve">SDS plus-5X 10×100×160</t>
  </si>
  <si>
    <t xml:space="preserve">Foret à Béton 26 × 450 mm, SDS Plus - BOSCH</t>
  </si>
  <si>
    <t xml:space="preserve">5300</t>
  </si>
  <si>
    <t xml:space="preserve">Foret à Béton 12 × 260 mm, SDS Plus - BOSCH</t>
  </si>
  <si>
    <t xml:space="preserve">5298</t>
  </si>
  <si>
    <t xml:space="preserve">SDS plus-5X 12×200×260</t>
  </si>
  <si>
    <t xml:space="preserve">Foret à Béton 12 × 160 mm, SDS Plus - BOSCH</t>
  </si>
  <si>
    <t xml:space="preserve">5297</t>
  </si>
  <si>
    <t xml:space="preserve">SDS plus-5X 12×100×160</t>
  </si>
  <si>
    <t xml:space="preserve">Foret à Béton 10 × 260 mm, SDS Plus - BOSCH</t>
  </si>
  <si>
    <t xml:space="preserve">5296</t>
  </si>
  <si>
    <t xml:space="preserve">SDS plus-5X 10×200×260</t>
  </si>
  <si>
    <t xml:space="preserve">Foret à Béton 10 × 160 mm, SDS Plus - BOSCH</t>
  </si>
  <si>
    <t xml:space="preserve">5295</t>
  </si>
  <si>
    <t xml:space="preserve">Foret à Béton 8 × 160 mm, SDS Plus - BOSCH</t>
  </si>
  <si>
    <t xml:space="preserve">5294</t>
  </si>
  <si>
    <t xml:space="preserve">SDS plus-5X 8×100×160</t>
  </si>
  <si>
    <t xml:space="preserve">Foret à Béton 6 × 160 mm, SDS Plus - BOSCH</t>
  </si>
  <si>
    <t xml:space="preserve">5293</t>
  </si>
  <si>
    <t xml:space="preserve">SDS plus-5X 6×100×160</t>
  </si>
  <si>
    <t xml:space="preserve">Foret à Béton 16 × 310 mm, SDS Plus Réf 706 - BOSCH</t>
  </si>
  <si>
    <t xml:space="preserve">5292</t>
  </si>
  <si>
    <t xml:space="preserve">SDS plus-5X 16×250×310</t>
  </si>
  <si>
    <t xml:space="preserve">Foret à Béton 12 × 260 mm, SDS Plus Réf 706 - BOSCH</t>
  </si>
  <si>
    <t xml:space="preserve">5291</t>
  </si>
  <si>
    <t xml:space="preserve">Foret à Béton 10 × 460 mm, SDS Plus Réf 706 - BOSCH</t>
  </si>
  <si>
    <t xml:space="preserve">5290</t>
  </si>
  <si>
    <t xml:space="preserve">SDS plus-5X 10×400×460</t>
  </si>
  <si>
    <t xml:space="preserve">Foret à Béton 10 × 260 mm, SDS Plus Réf 706 - BOSCH</t>
  </si>
  <si>
    <t xml:space="preserve">5289</t>
  </si>
  <si>
    <t xml:space="preserve">Foret à Béton 10 × 210 mm, SDS Plus Réf 706 - BOSCH</t>
  </si>
  <si>
    <t xml:space="preserve">5288</t>
  </si>
  <si>
    <t xml:space="preserve">SDS plus-5X 10×150×210</t>
  </si>
  <si>
    <t xml:space="preserve">Foret à Béton 8 × 260 mm, SDS Plus Réf 706 - BOSCH</t>
  </si>
  <si>
    <t xml:space="preserve">5287</t>
  </si>
  <si>
    <t xml:space="preserve">SDS plus-5X 8×200×260</t>
  </si>
  <si>
    <t xml:space="preserve">Foret à béton SDS Plus 8 × 210 mm - Réf. 706 - BOSCH</t>
  </si>
  <si>
    <t xml:space="preserve">5286</t>
  </si>
  <si>
    <t xml:space="preserve">SDS plus-5X 8×150×210</t>
  </si>
  <si>
    <t xml:space="preserve">Foret à Béton 8 × 160 mm, SDS Plus Réf 706 - BOSCH</t>
  </si>
  <si>
    <t xml:space="preserve">5285</t>
  </si>
  <si>
    <t xml:space="preserve">Foret à Béton 6 × 210 mm, SDS Plus Réf 706 - BOSCH</t>
  </si>
  <si>
    <t xml:space="preserve">5284</t>
  </si>
  <si>
    <t xml:space="preserve">SDS plus-5X 6×150×210</t>
  </si>
  <si>
    <t xml:space="preserve">Foret à CARRELAGE BOSCH 6 mm</t>
  </si>
  <si>
    <t xml:space="preserve">5215</t>
  </si>
  <si>
    <t xml:space="preserve">CYL-9 Ceramic 6×80</t>
  </si>
  <si>
    <t xml:space="preserve">Meuleuse BOSCH 700 W</t>
  </si>
  <si>
    <t xml:space="preserve">4746</t>
  </si>
  <si>
    <t xml:space="preserve">Supposé GWS 700 (710 W)</t>
  </si>
  <si>
    <t xml:space="preserve">Foret Marbre BOSCH 16</t>
  </si>
  <si>
    <t xml:space="preserve">3886</t>
  </si>
  <si>
    <t xml:space="preserve">Foret Marbre BOSCH 6</t>
  </si>
  <si>
    <t xml:space="preserve">3885</t>
  </si>
  <si>
    <t xml:space="preserve">LASER BOSCH 300° GRL</t>
  </si>
  <si>
    <t xml:space="preserve">3877</t>
  </si>
  <si>
    <t xml:space="preserve">Laser rotatif GRL 300 HV</t>
  </si>
  <si>
    <t xml:space="preserve">MARTEAU PERFORATEUR REGLAJE BOSCH 1100W</t>
  </si>
  <si>
    <t xml:space="preserve">3747</t>
  </si>
  <si>
    <t xml:space="preserve">À vérifier : supposé GBH 5-40 D (1 100 W)</t>
  </si>
  <si>
    <t xml:space="preserve">Meuleuse BOSCH 1400 W</t>
  </si>
  <si>
    <t xml:space="preserve">3631</t>
  </si>
  <si>
    <t xml:space="preserve">GWS 1400</t>
  </si>
  <si>
    <t xml:space="preserve">PERFORATEUR BOSCH 900W</t>
  </si>
  <si>
    <t xml:space="preserve">3630</t>
  </si>
  <si>
    <t xml:space="preserve">À vérifier : supposé GBH 4-32 DFR (900 W)</t>
  </si>
  <si>
    <t xml:space="preserve">Marteau Perforateur BOSCH 1100 W</t>
  </si>
  <si>
    <t xml:space="preserve">3629</t>
  </si>
  <si>
    <t xml:space="preserve">À vérifier : même modèle supposé que la ligne « réglage 1100W » (GBH 5-40 D)</t>
  </si>
  <si>
    <t xml:space="preserve">Foret Marbre BOSCH haute qualité 12</t>
  </si>
  <si>
    <t xml:space="preserve">3238</t>
  </si>
  <si>
    <t xml:space="preserve">Foret Marbre BOSCH 10</t>
  </si>
  <si>
    <t xml:space="preserve">3093</t>
  </si>
  <si>
    <t xml:space="preserve">Foret Marbre BOSCH 12</t>
  </si>
  <si>
    <t xml:space="preserve">2892</t>
  </si>
  <si>
    <t xml:space="preserve">Foret Marbre BOSCH 8</t>
  </si>
  <si>
    <t xml:space="preserve">2891</t>
  </si>
  <si>
    <t xml:space="preserve">Disque Diamant 180 mm Carrelage - BOSCH</t>
  </si>
  <si>
    <t xml:space="preserve">2884</t>
  </si>
  <si>
    <t xml:space="preserve">Introuvable en ligne au Maroc (Bosch vendu en 115, 125 et 230 mm)</t>
  </si>
  <si>
    <t xml:space="preserve">Foret HILTI 6 Courte BOSCH</t>
  </si>
  <si>
    <t xml:space="preserve">2472</t>
  </si>
  <si>
    <t xml:space="preserve">Meuleuse BOSCH Batterie 18 V</t>
  </si>
  <si>
    <t xml:space="preserve">1867</t>
  </si>
  <si>
    <t xml:space="preserve">Modèle non identifiable : GWS 18V-8 seule à 1 249 (Mr Bricolage), kits GWS 180-LI à 5 699–5 919</t>
  </si>
  <si>
    <t xml:space="preserve">Charbon BOSCH Petit</t>
  </si>
  <si>
    <t xml:space="preserve">1592</t>
  </si>
  <si>
    <t xml:space="preserve">Charbon BOSCH Grand</t>
  </si>
  <si>
    <t xml:space="preserve">1591</t>
  </si>
  <si>
    <t xml:space="preserve">Meuleuse BOSCH 710 W</t>
  </si>
  <si>
    <t xml:space="preserve">1452</t>
  </si>
  <si>
    <t xml:space="preserve">GWS 700 (710 W)</t>
  </si>
  <si>
    <t xml:space="preserve">Meuleuse BOSCH 2200 W</t>
  </si>
  <si>
    <t xml:space="preserve">1450</t>
  </si>
  <si>
    <t xml:space="preserve">GWS 2200</t>
  </si>
  <si>
    <t xml:space="preserve">Foret à CARRELAGE BOSCE 10 mm</t>
  </si>
  <si>
    <t xml:space="preserve">3237</t>
  </si>
  <si>
    <t xml:space="preserve">CYL-9 Ceramic 10×90</t>
  </si>
  <si>
    <t xml:space="preserve">Foret à CARRELAGE BOSCE 8 mm</t>
  </si>
  <si>
    <t xml:space="preserve">3236</t>
  </si>
  <si>
    <t xml:space="preserve">CYL-9 Ceramic 8×80</t>
  </si>
  <si>
    <t xml:space="preserve">Prix publics TTC en MAD relevés le 10/10/2026 sur bricoma.ma, mrbricolage.ma, bricop.ma et outillageaouami.com.</t>
  </si>
  <si>
    <t xml:space="preserve">Prix retenu = prix qui revient le plus souvent entre les sites ; sinon la médiane ; un seul site = son prix.</t>
  </si>
  <si>
    <t xml:space="preserve">Écart positif = votre prix actuel est au-dessus du prix retenu. Jumia non consulté (vérification anti-robot).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</si>
</sst>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;[RED]\-#,##0.00"/>
    <numFmt numFmtId="167" formatCode="0.0%;[RED]\-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rbricolage.ma/produit/niveau-laser-gll80-33g/" TargetMode="External"/><Relationship Id="rId2" Type="http://schemas.openxmlformats.org/officeDocument/2006/relationships/hyperlink" Target="https://www.bricop.ma/niveau-laser-3-plans-bosch-gll-80-33-g/" TargetMode="External"/><Relationship Id="rId3" Type="http://schemas.openxmlformats.org/officeDocument/2006/relationships/hyperlink" Target="https://mrbricolage.ma/produit/telemtre-laser-glm-100-25-c-bosch/" TargetMode="External"/><Relationship Id="rId4" Type="http://schemas.openxmlformats.org/officeDocument/2006/relationships/hyperlink" Target="https://www.bricop.ma/bosch-telemetres-laser-glm-100-25-c-0601072y00/" TargetMode="External"/><Relationship Id="rId5" Type="http://schemas.openxmlformats.org/officeDocument/2006/relationships/hyperlink" Target="https://mrbricolage.ma/produit/niveau-laser-gll-12-22-g/" TargetMode="External"/><Relationship Id="rId6" Type="http://schemas.openxmlformats.org/officeDocument/2006/relationships/hyperlink" Target="https://www.bricop.ma/bosch-telemetre-laser-glm-120-c-professional-0601072f00-maroc/" TargetMode="External"/><Relationship Id="rId7" Type="http://schemas.openxmlformats.org/officeDocument/2006/relationships/hyperlink" Target="https://mrbricolage.ma/produit/telemetre-glm-50-22-50m-prof-bosch/" TargetMode="External"/><Relationship Id="rId8" Type="http://schemas.openxmlformats.org/officeDocument/2006/relationships/hyperlink" Target="https://www.bricop.ma/bosch-telemetre-laser-glm-50-c-0601072c00-maroc/" TargetMode="External"/><Relationship Id="rId9" Type="http://schemas.openxmlformats.org/officeDocument/2006/relationships/hyperlink" Target="https://www.bricoma.ma/telemtre-glm-40.html" TargetMode="External"/><Relationship Id="rId10" Type="http://schemas.openxmlformats.org/officeDocument/2006/relationships/hyperlink" Target="https://mrbricolage.ma/produit/telemetre-laser-bosch-glm-40-professional/" TargetMode="External"/><Relationship Id="rId11" Type="http://schemas.openxmlformats.org/officeDocument/2006/relationships/hyperlink" Target="https://www.bricop.ma/bosch-telemetre-laser-glm-40-601072900-maroc/" TargetMode="External"/><Relationship Id="rId12" Type="http://schemas.openxmlformats.org/officeDocument/2006/relationships/hyperlink" Target="https://www.bricop.ma/bosch-sds-plus-5xforets-pour-marteau-perforateur-14x200x260-2608833818-maroc/" TargetMode="External"/><Relationship Id="rId13" Type="http://schemas.openxmlformats.org/officeDocument/2006/relationships/hyperlink" Target="https://mrbricolage.ma/produit/foret-sds-5x-12x400x460-bosch-acc/" TargetMode="External"/><Relationship Id="rId14" Type="http://schemas.openxmlformats.org/officeDocument/2006/relationships/hyperlink" Target="https://www.bricop.ma/bosch-sds-plus-5xforets-pour-marteau-perforateur-12x400x460-2608833812-maroc/" TargetMode="External"/><Relationship Id="rId15" Type="http://schemas.openxmlformats.org/officeDocument/2006/relationships/hyperlink" Target="https://mrbricolage.ma/produit/foret-sds-5x-14x100x160-bosch-acc/" TargetMode="External"/><Relationship Id="rId16" Type="http://schemas.openxmlformats.org/officeDocument/2006/relationships/hyperlink" Target="https://www.bricop.ma/bosch-sds-plus-5xforets-pour-marteau-perforateur-14x100x160-2608833816-maroc/" TargetMode="External"/><Relationship Id="rId17" Type="http://schemas.openxmlformats.org/officeDocument/2006/relationships/hyperlink" Target="https://www.bricoma.ma/niveau-optique-bosch-gol-32g-professionel.html" TargetMode="External"/><Relationship Id="rId18" Type="http://schemas.openxmlformats.org/officeDocument/2006/relationships/hyperlink" Target="https://www.bricop.ma/bosch-niveau-optique-gol-32-g-0601068501-maroc/" TargetMode="External"/><Relationship Id="rId19" Type="http://schemas.openxmlformats.org/officeDocument/2006/relationships/hyperlink" Target="https://mrbricolage.ma/produit/telemetre-laser-glm-25-23/" TargetMode="External"/><Relationship Id="rId20" Type="http://schemas.openxmlformats.org/officeDocument/2006/relationships/hyperlink" Target="https://www.bricop.ma/bosch-telemetre-laser-glm-25-23-0601072w00/" TargetMode="External"/><Relationship Id="rId21" Type="http://schemas.openxmlformats.org/officeDocument/2006/relationships/hyperlink" Target="https://mrbricolage.ma/produit/foret-sds-5x-12x150x210-bosch-acc/" TargetMode="External"/><Relationship Id="rId22" Type="http://schemas.openxmlformats.org/officeDocument/2006/relationships/hyperlink" Target="https://www.bricop.ma/bosch-sds-plus-5xforets-pour-marteau-perforateur-12x150x210-2608833808-maroc/" TargetMode="External"/><Relationship Id="rId23" Type="http://schemas.openxmlformats.org/officeDocument/2006/relationships/hyperlink" Target="https://www.bricop.ma/bosch-aspirateur-pour-solides-et-liquides-gas-15-06019e5000-maroc/" TargetMode="External"/><Relationship Id="rId24" Type="http://schemas.openxmlformats.org/officeDocument/2006/relationships/hyperlink" Target="https://www.bricoma.ma/marteau-perforateur-gbh-220-720w-2j.html" TargetMode="External"/><Relationship Id="rId25" Type="http://schemas.openxmlformats.org/officeDocument/2006/relationships/hyperlink" Target="https://mrbricolage.ma/produit/perforateur-sds-plus-gbh-220-720w-22mm-bosch/" TargetMode="External"/><Relationship Id="rId26" Type="http://schemas.openxmlformats.org/officeDocument/2006/relationships/hyperlink" Target="https://www.bricop.ma/bosch-perforateur-sds-plus-gbh-220-professional-720w-4-22mm-06112a6020-maroc/" TargetMode="External"/><Relationship Id="rId27" Type="http://schemas.openxmlformats.org/officeDocument/2006/relationships/hyperlink" Target="https://outillageaouami.com/product/perforateur-hilti-720w-bosch-gbh-220/" TargetMode="External"/><Relationship Id="rId28" Type="http://schemas.openxmlformats.org/officeDocument/2006/relationships/hyperlink" Target="https://www.bricop.ma/bosch-sds-plus-5xforets-pour-marteau-perforateur-10x100x160-2608833798-maroc/" TargetMode="External"/><Relationship Id="rId29" Type="http://schemas.openxmlformats.org/officeDocument/2006/relationships/hyperlink" Target="https://www.bricop.ma/bosch-sds-plus-5xforets-pour-marteau-perforateur-12x200x260-2608833809-maroc/" TargetMode="External"/><Relationship Id="rId30" Type="http://schemas.openxmlformats.org/officeDocument/2006/relationships/hyperlink" Target="https://mrbricolage.ma/produit/foret-sds-5x-12x100x160-bosch-acc/" TargetMode="External"/><Relationship Id="rId31" Type="http://schemas.openxmlformats.org/officeDocument/2006/relationships/hyperlink" Target="https://www.bricop.ma/bosch-sds-plus-5xforets-pour-marteau-perforateur-12x100x160-2608833807-maroc/" TargetMode="External"/><Relationship Id="rId32" Type="http://schemas.openxmlformats.org/officeDocument/2006/relationships/hyperlink" Target="https://www.bricop.ma/bosch-sds-plus-5xforets-pour-marteau-perforateur-10x200x260-2608833800-maroc/" TargetMode="External"/><Relationship Id="rId33" Type="http://schemas.openxmlformats.org/officeDocument/2006/relationships/hyperlink" Target="https://www.bricop.ma/bosch-sds-plus-5xforets-pour-marteau-perforateur-10x100x160-2608833798-maroc/" TargetMode="External"/><Relationship Id="rId34" Type="http://schemas.openxmlformats.org/officeDocument/2006/relationships/hyperlink" Target="https://www.bricop.ma/bosch-sds-plus-5xforets-pour-marteau-perforateur-8x100x160-2608833789-maroc/" TargetMode="External"/><Relationship Id="rId35" Type="http://schemas.openxmlformats.org/officeDocument/2006/relationships/hyperlink" Target="https://www.bricop.ma/bosch-sds-plus-5xforets-pour-marteau-perforateur-6x100x160-2608833778-maroc/" TargetMode="External"/><Relationship Id="rId36" Type="http://schemas.openxmlformats.org/officeDocument/2006/relationships/hyperlink" Target="https://www.bricop.ma/bosch-sds-plus-5xforets-pour-marteau-perforateur-16x250x310-2608833827-maroc/" TargetMode="External"/><Relationship Id="rId37" Type="http://schemas.openxmlformats.org/officeDocument/2006/relationships/hyperlink" Target="https://www.bricop.ma/bosch-sds-plus-5xforets-pour-marteau-perforateur-12x200x260-2608833809-maroc/" TargetMode="External"/><Relationship Id="rId38" Type="http://schemas.openxmlformats.org/officeDocument/2006/relationships/hyperlink" Target="https://mrbricolage.ma/produit/foret-sds-plus-x5-10x400x460/" TargetMode="External"/><Relationship Id="rId39" Type="http://schemas.openxmlformats.org/officeDocument/2006/relationships/hyperlink" Target="https://www.bricop.ma/bosch-sds-plus-5xforets-pour-marteau-perforateur-10x400x460-2608833803-maroc/" TargetMode="External"/><Relationship Id="rId40" Type="http://schemas.openxmlformats.org/officeDocument/2006/relationships/hyperlink" Target="https://www.bricop.ma/bosch-sds-plus-5xforets-pour-marteau-perforateur-10x200x260-2608833800-maroc/" TargetMode="External"/><Relationship Id="rId41" Type="http://schemas.openxmlformats.org/officeDocument/2006/relationships/hyperlink" Target="https://www.bricop.ma/bosch-sds-plus-5xforets-pour-marteau-perforateur-10x150x210-2608833799-maroc/" TargetMode="External"/><Relationship Id="rId42" Type="http://schemas.openxmlformats.org/officeDocument/2006/relationships/hyperlink" Target="https://www.bricop.ma/bosch-sds-plus-5xforets-pour-marteau-perforateur-8x200x260-2608833791-maroc/" TargetMode="External"/><Relationship Id="rId43" Type="http://schemas.openxmlformats.org/officeDocument/2006/relationships/hyperlink" Target="https://www.bricop.ma/bosch-sds-plus-5xforets-pour-marteau-perforateur-8x150x210-2608833790-maroc/" TargetMode="External"/><Relationship Id="rId44" Type="http://schemas.openxmlformats.org/officeDocument/2006/relationships/hyperlink" Target="https://www.bricop.ma/bosch-sds-plus-5xforets-pour-marteau-perforateur-8x100x160-2608833789-maroc/" TargetMode="External"/><Relationship Id="rId45" Type="http://schemas.openxmlformats.org/officeDocument/2006/relationships/hyperlink" Target="https://www.bricop.ma/bosch-sds-plus-5xforets-pour-marteau-perforateur-6x150x210-2608833779-maroc/" TargetMode="External"/><Relationship Id="rId46" Type="http://schemas.openxmlformats.org/officeDocument/2006/relationships/hyperlink" Target="https://www.bricoma.ma/forets-a-carrelage-cyl-9-ceramic-6-x-80-mm.html" TargetMode="External"/><Relationship Id="rId47" Type="http://schemas.openxmlformats.org/officeDocument/2006/relationships/hyperlink" Target="https://mrbricolage.ma/produit/foret-carrelage-cyl-9-ceramic-6-x-80mm-bosch-acc/" TargetMode="External"/><Relationship Id="rId48" Type="http://schemas.openxmlformats.org/officeDocument/2006/relationships/hyperlink" Target="https://www.bricop.ma/bosch-forets-a-carrelage-cyl-9-ceramic-6-x-80-mm-2608587161-maroc/" TargetMode="External"/><Relationship Id="rId49" Type="http://schemas.openxmlformats.org/officeDocument/2006/relationships/hyperlink" Target="https://mrbricolage.ma/produit/meuleuse-angulaire-gws-700-115mm-710w-bosch/" TargetMode="External"/><Relationship Id="rId50" Type="http://schemas.openxmlformats.org/officeDocument/2006/relationships/hyperlink" Target="https://www.bricop.ma/bosch-meuleuse-angulaire-gws-700-professional-06013a30k1-maroc/" TargetMode="External"/><Relationship Id="rId51" Type="http://schemas.openxmlformats.org/officeDocument/2006/relationships/hyperlink" Target="https://outillageaouami.com/product/meuleuse-115mm-710w-bosch-gws-700/" TargetMode="External"/><Relationship Id="rId52" Type="http://schemas.openxmlformats.org/officeDocument/2006/relationships/hyperlink" Target="https://www.bricop.ma/bosch-telemetre-laser-grl-300-hv-prof-601061501-maroc/" TargetMode="External"/><Relationship Id="rId53" Type="http://schemas.openxmlformats.org/officeDocument/2006/relationships/hyperlink" Target="https://www.bricoma.ma/marteau-perforateur-bosch-gbh-5-40-d-1-100w-8-5j-40mm.html" TargetMode="External"/><Relationship Id="rId54" Type="http://schemas.openxmlformats.org/officeDocument/2006/relationships/hyperlink" Target="https://mrbricolage.ma/produit/marteau-perforateur-sds-max-gbh-5-40/" TargetMode="External"/><Relationship Id="rId55" Type="http://schemas.openxmlformats.org/officeDocument/2006/relationships/hyperlink" Target="https://www.bricop.ma/bosch-perforateur-gbh-5-40-d-0611269000-maroc/" TargetMode="External"/><Relationship Id="rId56" Type="http://schemas.openxmlformats.org/officeDocument/2006/relationships/hyperlink" Target="https://mrbricolage.ma/produit/meuleuse-angulaire-gws-1400-petite/" TargetMode="External"/><Relationship Id="rId57" Type="http://schemas.openxmlformats.org/officeDocument/2006/relationships/hyperlink" Target="https://www.bricop.ma/bosch-meuleuse-gws-1400-professional-601824800-maroc/" TargetMode="External"/><Relationship Id="rId58" Type="http://schemas.openxmlformats.org/officeDocument/2006/relationships/hyperlink" Target="https://www.bricop.ma/bosch-perforateur-gbh-4-32-dfr-0611332101-maroc/" TargetMode="External"/><Relationship Id="rId59" Type="http://schemas.openxmlformats.org/officeDocument/2006/relationships/hyperlink" Target="https://www.bricoma.ma/marteau-perforateur-bosch-gbh-5-40-d-1-100w-8-5j-40mm.html" TargetMode="External"/><Relationship Id="rId60" Type="http://schemas.openxmlformats.org/officeDocument/2006/relationships/hyperlink" Target="https://mrbricolage.ma/produit/marteau-perforateur-sds-max-gbh-5-40/" TargetMode="External"/><Relationship Id="rId61" Type="http://schemas.openxmlformats.org/officeDocument/2006/relationships/hyperlink" Target="https://www.bricop.ma/bosch-perforateur-gbh-5-40-d-0611269000-maroc/" TargetMode="External"/><Relationship Id="rId62" Type="http://schemas.openxmlformats.org/officeDocument/2006/relationships/hyperlink" Target="https://mrbricolage.ma/produit/meuleuse-angulaire-gws-700-115mm-710w-bosch/" TargetMode="External"/><Relationship Id="rId63" Type="http://schemas.openxmlformats.org/officeDocument/2006/relationships/hyperlink" Target="https://www.bricop.ma/bosch-meuleuse-angulaire-gws-700-professional-06013a30k1-maroc/" TargetMode="External"/><Relationship Id="rId64" Type="http://schemas.openxmlformats.org/officeDocument/2006/relationships/hyperlink" Target="https://outillageaouami.com/product/meuleuse-115mm-710w-bosch-gws-700/" TargetMode="External"/><Relationship Id="rId65" Type="http://schemas.openxmlformats.org/officeDocument/2006/relationships/hyperlink" Target="https://www.bricoma.ma/meuleuse-angulaire-2200w.html" TargetMode="External"/><Relationship Id="rId66" Type="http://schemas.openxmlformats.org/officeDocument/2006/relationships/hyperlink" Target="https://mrbricolage.ma/produit/meuleuse-angulaire-bosch-gws-2200w-230mm/" TargetMode="External"/><Relationship Id="rId67" Type="http://schemas.openxmlformats.org/officeDocument/2006/relationships/hyperlink" Target="https://www.bricop.ma/bosch-meuleuse-angulaire-gws-2200-230-mm-0601852x00-maroc/" TargetMode="External"/><Relationship Id="rId68" Type="http://schemas.openxmlformats.org/officeDocument/2006/relationships/hyperlink" Target="https://www.bricoma.ma/forets-a-carrelage-cyl-9-ceramic-10-x-90-mm.html" TargetMode="External"/><Relationship Id="rId69" Type="http://schemas.openxmlformats.org/officeDocument/2006/relationships/hyperlink" Target="https://mrbricolage.ma/produit/foret-carrelage-cyl-9-ceramic-10-x-90mm-bosch-acc/" TargetMode="External"/><Relationship Id="rId70" Type="http://schemas.openxmlformats.org/officeDocument/2006/relationships/hyperlink" Target="https://www.bricop.ma/bosch-forets-a-carrelage-cyl-9-ceramic-10-x-90-mm-2608587165-maroc/" TargetMode="External"/><Relationship Id="rId71" Type="http://schemas.openxmlformats.org/officeDocument/2006/relationships/hyperlink" Target="https://www.bricoma.ma/forets-a-carrelage-cyl-9-ceramic-8-x-80-mm.html" TargetMode="External"/><Relationship Id="rId72" Type="http://schemas.openxmlformats.org/officeDocument/2006/relationships/hyperlink" Target="https://mrbricolage.ma/produit/foret-carrelage-cyl-9-ceramic-8-x-80mm-bosch-acc/" TargetMode="External"/><Relationship Id="rId73" Type="http://schemas.openxmlformats.org/officeDocument/2006/relationships/hyperlink" Target="https://www.bricop.ma/bosch-forets-a-carrelage-cyl-9-ceramic-8-x-80-mm-2608587164-maroc/" TargetMode="External"/><Relationship Id="rId7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n">
        <v>0</v>
      </c>
      <c r="D2" s="3" t="n">
        <v>250</v>
      </c>
      <c r="E2" s="2"/>
      <c r="F2" s="2"/>
      <c r="G2" s="2"/>
      <c r="H2" s="2"/>
      <c r="I2" s="2"/>
      <c r="J2" s="2"/>
      <c r="K2" s="2"/>
      <c r="L2" s="2"/>
      <c r="M2" s="2" t="n">
        <f aca="false">COUNT(E2,G2,I2,K2)</f>
        <v>0</v>
      </c>
      <c r="N2" s="4" t="str">
        <f aca="false">IF(M2=0,"Non trouvé",IFERROR(MODE(E2,G2,I2,K2),MEDIAN(E2,G2,I2,K2)))</f>
        <v>Non trouvé</v>
      </c>
      <c r="O2" s="2" t="str">
        <f aca="false">IF(M2=0,"Non trouvé",IF(M2=1,"Source unique",IF(ISNUMBER(MODE(E2,G2,I2,K2)),"Prix le plus fréquent","Aucun prix répété : médiane")))</f>
        <v>Non trouvé</v>
      </c>
      <c r="P2" s="5" t="str">
        <f aca="false">IF(AND(ISNUMBER(N2),ISNUMBER(D2)),D2-N2,"")</f>
        <v/>
      </c>
      <c r="Q2" s="6" t="str">
        <f aca="false">IF(AND(ISNUMBER(N2),ISNUMBER(D2)),D2/N2-1,"")</f>
        <v/>
      </c>
      <c r="R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n">
        <v>4</v>
      </c>
      <c r="D3" s="3" t="n">
        <v>5500</v>
      </c>
      <c r="E3" s="2"/>
      <c r="F3" s="2"/>
      <c r="G3" s="3" t="n">
        <v>4999</v>
      </c>
      <c r="H3" s="7" t="s">
        <v>23</v>
      </c>
      <c r="I3" s="3" t="n">
        <v>3999</v>
      </c>
      <c r="J3" s="7" t="s">
        <v>23</v>
      </c>
      <c r="K3" s="2"/>
      <c r="L3" s="2"/>
      <c r="M3" s="2" t="n">
        <f aca="false">COUNT(E3,G3,I3,K3)</f>
        <v>2</v>
      </c>
      <c r="N3" s="4" t="n">
        <f aca="false">IF(M3=0,"Non trouvé",IFERROR(MODE(E3,G3,I3,K3),MEDIAN(E3,G3,I3,K3)))</f>
        <v>4499</v>
      </c>
      <c r="O3" s="2" t="str">
        <f aca="false">IF(M3=0,"Non trouvé",IF(M3=1,"Source unique",IF(ISNUMBER(MODE(E3,G3,I3,K3)),"Prix le plus fréquent","Aucun prix répété : médiane")))</f>
        <v>Aucun prix répété : médiane</v>
      </c>
      <c r="P3" s="5" t="n">
        <f aca="false">IF(AND(ISNUMBER(N3),ISNUMBER(D3)),D3-N3,"")</f>
        <v>1001</v>
      </c>
      <c r="Q3" s="6" t="n">
        <f aca="false">IF(AND(ISNUMBER(N3),ISNUMBER(D3)),D3/N3-1,"")</f>
        <v>0.222493887530562</v>
      </c>
      <c r="R3" s="2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n">
        <v>1</v>
      </c>
      <c r="D4" s="3" t="n">
        <v>3500</v>
      </c>
      <c r="E4" s="2"/>
      <c r="F4" s="2"/>
      <c r="G4" s="3" t="n">
        <v>3099</v>
      </c>
      <c r="H4" s="7" t="s">
        <v>23</v>
      </c>
      <c r="I4" s="3" t="n">
        <v>3049</v>
      </c>
      <c r="J4" s="7" t="s">
        <v>23</v>
      </c>
      <c r="K4" s="2"/>
      <c r="L4" s="2"/>
      <c r="M4" s="2" t="n">
        <f aca="false">COUNT(E4,G4,I4,K4)</f>
        <v>2</v>
      </c>
      <c r="N4" s="4" t="n">
        <f aca="false">IF(M4=0,"Non trouvé",IFERROR(MODE(E4,G4,I4,K4),MEDIAN(E4,G4,I4,K4)))</f>
        <v>3074</v>
      </c>
      <c r="O4" s="2" t="str">
        <f aca="false">IF(M4=0,"Non trouvé",IF(M4=1,"Source unique",IF(ISNUMBER(MODE(E4,G4,I4,K4)),"Prix le plus fréquent","Aucun prix répété : médiane")))</f>
        <v>Aucun prix répété : médiane</v>
      </c>
      <c r="P4" s="5" t="n">
        <f aca="false">IF(AND(ISNUMBER(N4),ISNUMBER(D4)),D4-N4,"")</f>
        <v>426</v>
      </c>
      <c r="Q4" s="6" t="n">
        <f aca="false">IF(AND(ISNUMBER(N4),ISNUMBER(D4)),D4/N4-1,"")</f>
        <v>0.138581652569941</v>
      </c>
      <c r="R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n">
        <v>1</v>
      </c>
      <c r="D5" s="3" t="n">
        <v>1200</v>
      </c>
      <c r="E5" s="2"/>
      <c r="F5" s="2"/>
      <c r="G5" s="3" t="n">
        <v>999</v>
      </c>
      <c r="H5" s="7" t="s">
        <v>23</v>
      </c>
      <c r="I5" s="2"/>
      <c r="J5" s="2"/>
      <c r="K5" s="2"/>
      <c r="L5" s="2"/>
      <c r="M5" s="2" t="n">
        <f aca="false">COUNT(E5,G5,I5,K5)</f>
        <v>1</v>
      </c>
      <c r="N5" s="4" t="n">
        <f aca="false">IF(M5=0,"Non trouvé",IFERROR(MODE(E5,G5,I5,K5),MEDIAN(E5,G5,I5,K5)))</f>
        <v>999</v>
      </c>
      <c r="O5" s="2" t="str">
        <f aca="false">IF(M5=0,"Non trouvé",IF(M5=1,"Source unique",IF(ISNUMBER(MODE(E5,G5,I5,K5)),"Prix le plus fréquent","Aucun prix répété : médiane")))</f>
        <v>Source unique</v>
      </c>
      <c r="P5" s="5" t="n">
        <f aca="false">IF(AND(ISNUMBER(N5),ISNUMBER(D5)),D5-N5,"")</f>
        <v>201</v>
      </c>
      <c r="Q5" s="6" t="n">
        <f aca="false">IF(AND(ISNUMBER(N5),ISNUMBER(D5)),D5/N5-1,"")</f>
        <v>0.201201201201201</v>
      </c>
      <c r="R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n">
        <v>2</v>
      </c>
      <c r="D6" s="3" t="n">
        <v>1200</v>
      </c>
      <c r="E6" s="2"/>
      <c r="F6" s="2"/>
      <c r="G6" s="2"/>
      <c r="H6" s="2"/>
      <c r="I6" s="3" t="n">
        <v>3372</v>
      </c>
      <c r="J6" s="7" t="s">
        <v>23</v>
      </c>
      <c r="K6" s="2"/>
      <c r="L6" s="2"/>
      <c r="M6" s="2" t="n">
        <f aca="false">COUNT(E6,G6,I6,K6)</f>
        <v>1</v>
      </c>
      <c r="N6" s="4" t="n">
        <f aca="false">IF(M6=0,"Non trouvé",IFERROR(MODE(E6,G6,I6,K6),MEDIAN(E6,G6,I6,K6)))</f>
        <v>3372</v>
      </c>
      <c r="O6" s="2" t="str">
        <f aca="false">IF(M6=0,"Non trouvé",IF(M6=1,"Source unique",IF(ISNUMBER(MODE(E6,G6,I6,K6)),"Prix le plus fréquent","Aucun prix répété : médiane")))</f>
        <v>Source unique</v>
      </c>
      <c r="P6" s="5" t="n">
        <f aca="false">IF(AND(ISNUMBER(N6),ISNUMBER(D6)),D6-N6,"")</f>
        <v>-2172</v>
      </c>
      <c r="Q6" s="6" t="n">
        <f aca="false">IF(AND(ISNUMBER(N6),ISNUMBER(D6)),D6/N6-1,"")</f>
        <v>-0.644128113879004</v>
      </c>
      <c r="R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n">
        <v>2</v>
      </c>
      <c r="D7" s="3" t="n">
        <v>1800</v>
      </c>
      <c r="E7" s="2"/>
      <c r="F7" s="2"/>
      <c r="G7" s="3" t="n">
        <v>1599</v>
      </c>
      <c r="H7" s="7" t="s">
        <v>23</v>
      </c>
      <c r="I7" s="3" t="n">
        <v>1650</v>
      </c>
      <c r="J7" s="7" t="s">
        <v>23</v>
      </c>
      <c r="K7" s="2"/>
      <c r="L7" s="2"/>
      <c r="M7" s="2" t="n">
        <f aca="false">COUNT(E7,G7,I7,K7)</f>
        <v>2</v>
      </c>
      <c r="N7" s="4" t="n">
        <f aca="false">IF(M7=0,"Non trouvé",IFERROR(MODE(E7,G7,I7,K7),MEDIAN(E7,G7,I7,K7)))</f>
        <v>1624.5</v>
      </c>
      <c r="O7" s="2" t="str">
        <f aca="false">IF(M7=0,"Non trouvé",IF(M7=1,"Source unique",IF(ISNUMBER(MODE(E7,G7,I7,K7)),"Prix le plus fréquent","Aucun prix répété : médiane")))</f>
        <v>Aucun prix répété : médiane</v>
      </c>
      <c r="P7" s="5" t="n">
        <f aca="false">IF(AND(ISNUMBER(N7),ISNUMBER(D7)),D7-N7,"")</f>
        <v>175.5</v>
      </c>
      <c r="Q7" s="6" t="n">
        <f aca="false">IF(AND(ISNUMBER(N7),ISNUMBER(D7)),D7/N7-1,"")</f>
        <v>0.10803324099723</v>
      </c>
      <c r="R7" s="2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n">
        <v>2</v>
      </c>
      <c r="D8" s="3" t="n">
        <v>1500</v>
      </c>
      <c r="E8" s="3" t="n">
        <v>1190</v>
      </c>
      <c r="F8" s="7" t="s">
        <v>23</v>
      </c>
      <c r="G8" s="3" t="n">
        <v>1195</v>
      </c>
      <c r="H8" s="7" t="s">
        <v>23</v>
      </c>
      <c r="I8" s="3" t="n">
        <v>1169</v>
      </c>
      <c r="J8" s="7" t="s">
        <v>23</v>
      </c>
      <c r="K8" s="2"/>
      <c r="L8" s="2"/>
      <c r="M8" s="2" t="n">
        <f aca="false">COUNT(E8,G8,I8,K8)</f>
        <v>3</v>
      </c>
      <c r="N8" s="4" t="n">
        <f aca="false">IF(M8=0,"Non trouvé",IFERROR(MODE(E8,G8,I8,K8),MEDIAN(E8,G8,I8,K8)))</f>
        <v>1190</v>
      </c>
      <c r="O8" s="2" t="str">
        <f aca="false">IF(M8=0,"Non trouvé",IF(M8=1,"Source unique",IF(ISNUMBER(MODE(E8,G8,I8,K8)),"Prix le plus fréquent","Aucun prix répété : médiane")))</f>
        <v>Aucun prix répété : médiane</v>
      </c>
      <c r="P8" s="5" t="n">
        <f aca="false">IF(AND(ISNUMBER(N8),ISNUMBER(D8)),D8-N8,"")</f>
        <v>310</v>
      </c>
      <c r="Q8" s="6" t="n">
        <f aca="false">IF(AND(ISNUMBER(N8),ISNUMBER(D8)),D8/N8-1,"")</f>
        <v>0.260504201680672</v>
      </c>
      <c r="R8" s="2" t="s">
        <v>39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n">
        <v>1</v>
      </c>
      <c r="D9" s="3" t="n">
        <v>50</v>
      </c>
      <c r="E9" s="2"/>
      <c r="F9" s="2"/>
      <c r="G9" s="2"/>
      <c r="H9" s="2"/>
      <c r="I9" s="2"/>
      <c r="J9" s="2"/>
      <c r="K9" s="2"/>
      <c r="L9" s="2"/>
      <c r="M9" s="2" t="n">
        <f aca="false">COUNT(E9,G9,I9,K9)</f>
        <v>0</v>
      </c>
      <c r="N9" s="4" t="str">
        <f aca="false">IF(M9=0,"Non trouvé",IFERROR(MODE(E9,G9,I9,K9),MEDIAN(E9,G9,I9,K9)))</f>
        <v>Non trouvé</v>
      </c>
      <c r="O9" s="2" t="str">
        <f aca="false">IF(M9=0,"Non trouvé",IF(M9=1,"Source unique",IF(ISNUMBER(MODE(E9,G9,I9,K9)),"Prix le plus fréquent","Aucun prix répété : médiane")))</f>
        <v>Non trouvé</v>
      </c>
      <c r="P9" s="5" t="str">
        <f aca="false">IF(AND(ISNUMBER(N9),ISNUMBER(D9)),D9-N9,"")</f>
        <v/>
      </c>
      <c r="Q9" s="6" t="str">
        <f aca="false">IF(AND(ISNUMBER(N9),ISNUMBER(D9)),D9/N9-1,"")</f>
        <v/>
      </c>
      <c r="R9" s="2" t="s">
        <v>42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n">
        <v>12</v>
      </c>
      <c r="D10" s="3"/>
      <c r="E10" s="2"/>
      <c r="F10" s="2"/>
      <c r="G10" s="2"/>
      <c r="H10" s="2"/>
      <c r="I10" s="2"/>
      <c r="J10" s="2"/>
      <c r="K10" s="2"/>
      <c r="L10" s="2"/>
      <c r="M10" s="2" t="n">
        <f aca="false">COUNT(E10,G10,I10,K10)</f>
        <v>0</v>
      </c>
      <c r="N10" s="4" t="str">
        <f aca="false">IF(M10=0,"Non trouvé",IFERROR(MODE(E10,G10,I10,K10),MEDIAN(E10,G10,I10,K10)))</f>
        <v>Non trouvé</v>
      </c>
      <c r="O10" s="2" t="str">
        <f aca="false">IF(M10=0,"Non trouvé",IF(M10=1,"Source unique",IF(ISNUMBER(MODE(E10,G10,I10,K10)),"Prix le plus fréquent","Aucun prix répété : médiane")))</f>
        <v>Non trouvé</v>
      </c>
      <c r="P10" s="5" t="str">
        <f aca="false">IF(AND(ISNUMBER(N10),ISNUMBER(D10)),D10-N10,"")</f>
        <v/>
      </c>
      <c r="Q10" s="6" t="str">
        <f aca="false">IF(AND(ISNUMBER(N10),ISNUMBER(D10)),D10/N10-1,"")</f>
        <v/>
      </c>
      <c r="R10" s="2" t="s">
        <v>45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n">
        <v>11</v>
      </c>
      <c r="D11" s="3"/>
      <c r="E11" s="2"/>
      <c r="F11" s="2"/>
      <c r="G11" s="2"/>
      <c r="H11" s="2"/>
      <c r="I11" s="3" t="n">
        <v>55</v>
      </c>
      <c r="J11" s="7" t="s">
        <v>23</v>
      </c>
      <c r="K11" s="2"/>
      <c r="L11" s="2"/>
      <c r="M11" s="2" t="n">
        <f aca="false">COUNT(E11,G11,I11,K11)</f>
        <v>1</v>
      </c>
      <c r="N11" s="4" t="n">
        <f aca="false">IF(M11=0,"Non trouvé",IFERROR(MODE(E11,G11,I11,K11),MEDIAN(E11,G11,I11,K11)))</f>
        <v>55</v>
      </c>
      <c r="O11" s="2" t="str">
        <f aca="false">IF(M11=0,"Non trouvé",IF(M11=1,"Source unique",IF(ISNUMBER(MODE(E11,G11,I11,K11)),"Prix le plus fréquent","Aucun prix répété : médiane")))</f>
        <v>Source unique</v>
      </c>
      <c r="P11" s="5" t="str">
        <f aca="false">IF(AND(ISNUMBER(N11),ISNUMBER(D11)),D11-N11,"")</f>
        <v/>
      </c>
      <c r="Q11" s="6" t="str">
        <f aca="false">IF(AND(ISNUMBER(N11),ISNUMBER(D11)),D11/N11-1,"")</f>
        <v/>
      </c>
      <c r="R11" s="2" t="s">
        <v>48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n">
        <v>12</v>
      </c>
      <c r="D12" s="3"/>
      <c r="E12" s="2"/>
      <c r="F12" s="2"/>
      <c r="G12" s="3" t="n">
        <v>77.9</v>
      </c>
      <c r="H12" s="7" t="s">
        <v>23</v>
      </c>
      <c r="I12" s="3" t="n">
        <v>77</v>
      </c>
      <c r="J12" s="7" t="s">
        <v>23</v>
      </c>
      <c r="K12" s="2"/>
      <c r="L12" s="2"/>
      <c r="M12" s="2" t="n">
        <f aca="false">COUNT(E12,G12,I12,K12)</f>
        <v>2</v>
      </c>
      <c r="N12" s="4" t="n">
        <f aca="false">IF(M12=0,"Non trouvé",IFERROR(MODE(E12,G12,I12,K12),MEDIAN(E12,G12,I12,K12)))</f>
        <v>77.45</v>
      </c>
      <c r="O12" s="2" t="str">
        <f aca="false">IF(M12=0,"Non trouvé",IF(M12=1,"Source unique",IF(ISNUMBER(MODE(E12,G12,I12,K12)),"Prix le plus fréquent","Aucun prix répété : médiane")))</f>
        <v>Aucun prix répété : médiane</v>
      </c>
      <c r="P12" s="5" t="str">
        <f aca="false">IF(AND(ISNUMBER(N12),ISNUMBER(D12)),D12-N12,"")</f>
        <v/>
      </c>
      <c r="Q12" s="6" t="str">
        <f aca="false">IF(AND(ISNUMBER(N12),ISNUMBER(D12)),D12/N12-1,"")</f>
        <v/>
      </c>
      <c r="R12" s="2" t="s">
        <v>51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n">
        <v>10</v>
      </c>
      <c r="D13" s="3" t="n">
        <v>50</v>
      </c>
      <c r="E13" s="2"/>
      <c r="F13" s="2"/>
      <c r="G13" s="3" t="n">
        <v>46.5</v>
      </c>
      <c r="H13" s="7" t="s">
        <v>23</v>
      </c>
      <c r="I13" s="3" t="n">
        <v>47</v>
      </c>
      <c r="J13" s="7" t="s">
        <v>23</v>
      </c>
      <c r="K13" s="2"/>
      <c r="L13" s="2"/>
      <c r="M13" s="2" t="n">
        <f aca="false">COUNT(E13,G13,I13,K13)</f>
        <v>2</v>
      </c>
      <c r="N13" s="4" t="n">
        <f aca="false">IF(M13=0,"Non trouvé",IFERROR(MODE(E13,G13,I13,K13),MEDIAN(E13,G13,I13,K13)))</f>
        <v>46.75</v>
      </c>
      <c r="O13" s="2" t="str">
        <f aca="false">IF(M13=0,"Non trouvé",IF(M13=1,"Source unique",IF(ISNUMBER(MODE(E13,G13,I13,K13)),"Prix le plus fréquent","Aucun prix répété : médiane")))</f>
        <v>Aucun prix répété : médiane</v>
      </c>
      <c r="P13" s="5" t="n">
        <f aca="false">IF(AND(ISNUMBER(N13),ISNUMBER(D13)),D13-N13,"")</f>
        <v>3.25</v>
      </c>
      <c r="Q13" s="6" t="n">
        <f aca="false">IF(AND(ISNUMBER(N13),ISNUMBER(D13)),D13/N13-1,"")</f>
        <v>0.0695187165775402</v>
      </c>
      <c r="R13" s="2" t="s">
        <v>54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n">
        <v>93</v>
      </c>
      <c r="D14" s="3" t="n">
        <v>35</v>
      </c>
      <c r="E14" s="2"/>
      <c r="F14" s="2"/>
      <c r="G14" s="2"/>
      <c r="H14" s="2"/>
      <c r="I14" s="2"/>
      <c r="J14" s="2"/>
      <c r="K14" s="2"/>
      <c r="L14" s="2"/>
      <c r="M14" s="2" t="n">
        <f aca="false">COUNT(E14,G14,I14,K14)</f>
        <v>0</v>
      </c>
      <c r="N14" s="4" t="str">
        <f aca="false">IF(M14=0,"Non trouvé",IFERROR(MODE(E14,G14,I14,K14),MEDIAN(E14,G14,I14,K14)))</f>
        <v>Non trouvé</v>
      </c>
      <c r="O14" s="2" t="str">
        <f aca="false">IF(M14=0,"Non trouvé",IF(M14=1,"Source unique",IF(ISNUMBER(MODE(E14,G14,I14,K14)),"Prix le plus fréquent","Aucun prix répété : médiane")))</f>
        <v>Non trouvé</v>
      </c>
      <c r="P14" s="5" t="str">
        <f aca="false">IF(AND(ISNUMBER(N14),ISNUMBER(D14)),D14-N14,"")</f>
        <v/>
      </c>
      <c r="Q14" s="6" t="str">
        <f aca="false">IF(AND(ISNUMBER(N14),ISNUMBER(D14)),D14/N14-1,"")</f>
        <v/>
      </c>
      <c r="R14" s="2" t="s">
        <v>57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n">
        <v>1</v>
      </c>
      <c r="D15" s="3" t="n">
        <v>5000</v>
      </c>
      <c r="E15" s="3" t="n">
        <v>4714</v>
      </c>
      <c r="F15" s="7" t="s">
        <v>23</v>
      </c>
      <c r="G15" s="2"/>
      <c r="H15" s="2"/>
      <c r="I15" s="3" t="n">
        <v>4611</v>
      </c>
      <c r="J15" s="7" t="s">
        <v>23</v>
      </c>
      <c r="K15" s="2"/>
      <c r="L15" s="2"/>
      <c r="M15" s="2" t="n">
        <f aca="false">COUNT(E15,G15,I15,K15)</f>
        <v>2</v>
      </c>
      <c r="N15" s="4" t="n">
        <f aca="false">IF(M15=0,"Non trouvé",IFERROR(MODE(E15,G15,I15,K15),MEDIAN(E15,G15,I15,K15)))</f>
        <v>4662.5</v>
      </c>
      <c r="O15" s="2" t="str">
        <f aca="false">IF(M15=0,"Non trouvé",IF(M15=1,"Source unique",IF(ISNUMBER(MODE(E15,G15,I15,K15)),"Prix le plus fréquent","Aucun prix répété : médiane")))</f>
        <v>Aucun prix répété : médiane</v>
      </c>
      <c r="P15" s="5" t="n">
        <f aca="false">IF(AND(ISNUMBER(N15),ISNUMBER(D15)),D15-N15,"")</f>
        <v>337.5</v>
      </c>
      <c r="Q15" s="6" t="n">
        <f aca="false">IF(AND(ISNUMBER(N15),ISNUMBER(D15)),D15/N15-1,"")</f>
        <v>0.0723860589812333</v>
      </c>
      <c r="R15" s="2" t="s">
        <v>60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n">
        <v>3</v>
      </c>
      <c r="D16" s="3" t="n">
        <v>600</v>
      </c>
      <c r="E16" s="2"/>
      <c r="F16" s="2"/>
      <c r="G16" s="3" t="n">
        <v>439</v>
      </c>
      <c r="H16" s="7" t="s">
        <v>23</v>
      </c>
      <c r="I16" s="3" t="n">
        <v>409</v>
      </c>
      <c r="J16" s="7" t="s">
        <v>23</v>
      </c>
      <c r="K16" s="2"/>
      <c r="L16" s="2"/>
      <c r="M16" s="2" t="n">
        <f aca="false">COUNT(E16,G16,I16,K16)</f>
        <v>2</v>
      </c>
      <c r="N16" s="4" t="n">
        <f aca="false">IF(M16=0,"Non trouvé",IFERROR(MODE(E16,G16,I16,K16),MEDIAN(E16,G16,I16,K16)))</f>
        <v>424</v>
      </c>
      <c r="O16" s="2" t="str">
        <f aca="false">IF(M16=0,"Non trouvé",IF(M16=1,"Source unique",IF(ISNUMBER(MODE(E16,G16,I16,K16)),"Prix le plus fréquent","Aucun prix répété : médiane")))</f>
        <v>Aucun prix répété : médiane</v>
      </c>
      <c r="P16" s="5" t="n">
        <f aca="false">IF(AND(ISNUMBER(N16),ISNUMBER(D16)),D16-N16,"")</f>
        <v>176</v>
      </c>
      <c r="Q16" s="6" t="n">
        <f aca="false">IF(AND(ISNUMBER(N16),ISNUMBER(D16)),D16/N16-1,"")</f>
        <v>0.415094339622641</v>
      </c>
      <c r="R16" s="2" t="s">
        <v>63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n">
        <v>0</v>
      </c>
      <c r="D17" s="3" t="n">
        <v>6</v>
      </c>
      <c r="E17" s="2"/>
      <c r="F17" s="2"/>
      <c r="G17" s="2"/>
      <c r="H17" s="2"/>
      <c r="I17" s="2"/>
      <c r="J17" s="2"/>
      <c r="K17" s="2"/>
      <c r="L17" s="2"/>
      <c r="M17" s="2" t="n">
        <f aca="false">COUNT(E17,G17,I17,K17)</f>
        <v>0</v>
      </c>
      <c r="N17" s="4" t="str">
        <f aca="false">IF(M17=0,"Non trouvé",IFERROR(MODE(E17,G17,I17,K17),MEDIAN(E17,G17,I17,K17)))</f>
        <v>Non trouvé</v>
      </c>
      <c r="O17" s="2" t="str">
        <f aca="false">IF(M17=0,"Non trouvé",IF(M17=1,"Source unique",IF(ISNUMBER(MODE(E17,G17,I17,K17)),"Prix le plus fréquent","Aucun prix répété : médiane")))</f>
        <v>Non trouvé</v>
      </c>
      <c r="P17" s="5" t="str">
        <f aca="false">IF(AND(ISNUMBER(N17),ISNUMBER(D17)),D17-N17,"")</f>
        <v/>
      </c>
      <c r="Q17" s="6" t="str">
        <f aca="false">IF(AND(ISNUMBER(N17),ISNUMBER(D17)),D17/N17-1,"")</f>
        <v/>
      </c>
      <c r="R17" s="2" t="s">
        <v>66</v>
      </c>
    </row>
    <row r="18" customFormat="false" ht="15" hidden="false" customHeight="false" outlineLevel="0" collapsed="false">
      <c r="A18" s="2" t="s">
        <v>67</v>
      </c>
      <c r="B18" s="2" t="s">
        <v>68</v>
      </c>
      <c r="C18" s="2" t="n">
        <v>29</v>
      </c>
      <c r="D18" s="3" t="n">
        <v>45</v>
      </c>
      <c r="E18" s="2"/>
      <c r="F18" s="2"/>
      <c r="G18" s="3" t="n">
        <v>42.9</v>
      </c>
      <c r="H18" s="7" t="s">
        <v>23</v>
      </c>
      <c r="I18" s="3" t="n">
        <v>44</v>
      </c>
      <c r="J18" s="7" t="s">
        <v>23</v>
      </c>
      <c r="K18" s="2"/>
      <c r="L18" s="2"/>
      <c r="M18" s="2" t="n">
        <f aca="false">COUNT(E18,G18,I18,K18)</f>
        <v>2</v>
      </c>
      <c r="N18" s="4" t="n">
        <f aca="false">IF(M18=0,"Non trouvé",IFERROR(MODE(E18,G18,I18,K18),MEDIAN(E18,G18,I18,K18)))</f>
        <v>43.45</v>
      </c>
      <c r="O18" s="2" t="str">
        <f aca="false">IF(M18=0,"Non trouvé",IF(M18=1,"Source unique",IF(ISNUMBER(MODE(E18,G18,I18,K18)),"Prix le plus fréquent","Aucun prix répété : médiane")))</f>
        <v>Aucun prix répété : médiane</v>
      </c>
      <c r="P18" s="5" t="n">
        <f aca="false">IF(AND(ISNUMBER(N18),ISNUMBER(D18)),D18-N18,"")</f>
        <v>1.55</v>
      </c>
      <c r="Q18" s="6" t="n">
        <f aca="false">IF(AND(ISNUMBER(N18),ISNUMBER(D18)),D18/N18-1,"")</f>
        <v>0.0356731875719216</v>
      </c>
      <c r="R18" s="2" t="s">
        <v>69</v>
      </c>
    </row>
    <row r="19" customFormat="false" ht="15" hidden="false" customHeight="false" outlineLevel="0" collapsed="false">
      <c r="A19" s="2" t="s">
        <v>70</v>
      </c>
      <c r="B19" s="2" t="s">
        <v>71</v>
      </c>
      <c r="C19" s="2" t="n">
        <v>1</v>
      </c>
      <c r="D19" s="3" t="n">
        <v>1850</v>
      </c>
      <c r="E19" s="2"/>
      <c r="F19" s="2"/>
      <c r="G19" s="2"/>
      <c r="H19" s="2"/>
      <c r="I19" s="3" t="n">
        <v>1818</v>
      </c>
      <c r="J19" s="7" t="s">
        <v>23</v>
      </c>
      <c r="K19" s="2"/>
      <c r="L19" s="2"/>
      <c r="M19" s="2" t="n">
        <f aca="false">COUNT(E19,G19,I19,K19)</f>
        <v>1</v>
      </c>
      <c r="N19" s="4" t="n">
        <f aca="false">IF(M19=0,"Non trouvé",IFERROR(MODE(E19,G19,I19,K19),MEDIAN(E19,G19,I19,K19)))</f>
        <v>1818</v>
      </c>
      <c r="O19" s="2" t="str">
        <f aca="false">IF(M19=0,"Non trouvé",IF(M19=1,"Source unique",IF(ISNUMBER(MODE(E19,G19,I19,K19)),"Prix le plus fréquent","Aucun prix répété : médiane")))</f>
        <v>Source unique</v>
      </c>
      <c r="P19" s="5" t="n">
        <f aca="false">IF(AND(ISNUMBER(N19),ISNUMBER(D19)),D19-N19,"")</f>
        <v>32</v>
      </c>
      <c r="Q19" s="6" t="n">
        <f aca="false">IF(AND(ISNUMBER(N19),ISNUMBER(D19)),D19/N19-1,"")</f>
        <v>0.0176017601760177</v>
      </c>
      <c r="R19" s="2" t="s">
        <v>72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2" t="n">
        <v>20</v>
      </c>
      <c r="D20" s="3" t="n">
        <v>1100</v>
      </c>
      <c r="E20" s="3" t="n">
        <v>819</v>
      </c>
      <c r="F20" s="7" t="s">
        <v>23</v>
      </c>
      <c r="G20" s="3" t="n">
        <v>940</v>
      </c>
      <c r="H20" s="7" t="s">
        <v>23</v>
      </c>
      <c r="I20" s="3" t="n">
        <v>955</v>
      </c>
      <c r="J20" s="7" t="s">
        <v>23</v>
      </c>
      <c r="K20" s="3" t="n">
        <v>900</v>
      </c>
      <c r="L20" s="7" t="s">
        <v>23</v>
      </c>
      <c r="M20" s="2" t="n">
        <f aca="false">COUNT(E20,G20,I20,K20)</f>
        <v>4</v>
      </c>
      <c r="N20" s="4" t="n">
        <f aca="false">IF(M20=0,"Non trouvé",IFERROR(MODE(E20,G20,I20,K20),MEDIAN(E20,G20,I20,K20)))</f>
        <v>920</v>
      </c>
      <c r="O20" s="2" t="str">
        <f aca="false">IF(M20=0,"Non trouvé",IF(M20=1,"Source unique",IF(ISNUMBER(MODE(E20,G20,I20,K20)),"Prix le plus fréquent","Aucun prix répété : médiane")))</f>
        <v>Aucun prix répété : médiane</v>
      </c>
      <c r="P20" s="5" t="n">
        <f aca="false">IF(AND(ISNUMBER(N20),ISNUMBER(D20)),D20-N20,"")</f>
        <v>180</v>
      </c>
      <c r="Q20" s="6" t="n">
        <f aca="false">IF(AND(ISNUMBER(N20),ISNUMBER(D20)),D20/N20-1,"")</f>
        <v>0.195652173913043</v>
      </c>
      <c r="R20" s="2" t="s">
        <v>75</v>
      </c>
    </row>
    <row r="21" customFormat="false" ht="15" hidden="false" customHeight="false" outlineLevel="0" collapsed="false">
      <c r="A21" s="2" t="s">
        <v>76</v>
      </c>
      <c r="B21" s="2" t="s">
        <v>77</v>
      </c>
      <c r="C21" s="2" t="n">
        <v>6</v>
      </c>
      <c r="D21" s="3" t="n">
        <v>40</v>
      </c>
      <c r="E21" s="2"/>
      <c r="F21" s="2"/>
      <c r="G21" s="2"/>
      <c r="H21" s="2"/>
      <c r="I21" s="3" t="n">
        <v>30</v>
      </c>
      <c r="J21" s="7" t="s">
        <v>23</v>
      </c>
      <c r="K21" s="2"/>
      <c r="L21" s="2"/>
      <c r="M21" s="2" t="n">
        <f aca="false">COUNT(E21,G21,I21,K21)</f>
        <v>1</v>
      </c>
      <c r="N21" s="4" t="n">
        <f aca="false">IF(M21=0,"Non trouvé",IFERROR(MODE(E21,G21,I21,K21),MEDIAN(E21,G21,I21,K21)))</f>
        <v>30</v>
      </c>
      <c r="O21" s="2" t="str">
        <f aca="false">IF(M21=0,"Non trouvé",IF(M21=1,"Source unique",IF(ISNUMBER(MODE(E21,G21,I21,K21)),"Prix le plus fréquent","Aucun prix répété : médiane")))</f>
        <v>Source unique</v>
      </c>
      <c r="P21" s="5" t="n">
        <f aca="false">IF(AND(ISNUMBER(N21),ISNUMBER(D21)),D21-N21,"")</f>
        <v>10</v>
      </c>
      <c r="Q21" s="6" t="n">
        <f aca="false">IF(AND(ISNUMBER(N21),ISNUMBER(D21)),D21/N21-1,"")</f>
        <v>0.333333333333333</v>
      </c>
      <c r="R21" s="2" t="s">
        <v>78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n">
        <v>1</v>
      </c>
      <c r="D22" s="3" t="n">
        <v>350</v>
      </c>
      <c r="E22" s="2"/>
      <c r="F22" s="2"/>
      <c r="G22" s="2"/>
      <c r="H22" s="2"/>
      <c r="I22" s="2"/>
      <c r="J22" s="2"/>
      <c r="K22" s="2"/>
      <c r="L22" s="2"/>
      <c r="M22" s="2" t="n">
        <f aca="false">COUNT(E22,G22,I22,K22)</f>
        <v>0</v>
      </c>
      <c r="N22" s="4" t="str">
        <f aca="false">IF(M22=0,"Non trouvé",IFERROR(MODE(E22,G22,I22,K22),MEDIAN(E22,G22,I22,K22)))</f>
        <v>Non trouvé</v>
      </c>
      <c r="O22" s="2" t="str">
        <f aca="false">IF(M22=0,"Non trouvé",IF(M22=1,"Source unique",IF(ISNUMBER(MODE(E22,G22,I22,K22)),"Prix le plus fréquent","Aucun prix répété : médiane")))</f>
        <v>Non trouvé</v>
      </c>
      <c r="P22" s="5" t="str">
        <f aca="false">IF(AND(ISNUMBER(N22),ISNUMBER(D22)),D22-N22,"")</f>
        <v/>
      </c>
      <c r="Q22" s="6" t="str">
        <f aca="false">IF(AND(ISNUMBER(N22),ISNUMBER(D22)),D22/N22-1,"")</f>
        <v/>
      </c>
      <c r="R22" s="2" t="s">
        <v>42</v>
      </c>
    </row>
    <row r="23" customFormat="false" ht="15" hidden="false" customHeight="false" outlineLevel="0" collapsed="false">
      <c r="A23" s="2" t="s">
        <v>81</v>
      </c>
      <c r="B23" s="2" t="s">
        <v>82</v>
      </c>
      <c r="C23" s="2" t="n">
        <v>12</v>
      </c>
      <c r="D23" s="3" t="n">
        <v>45</v>
      </c>
      <c r="E23" s="2"/>
      <c r="F23" s="2"/>
      <c r="G23" s="2"/>
      <c r="H23" s="2"/>
      <c r="I23" s="3" t="n">
        <v>47</v>
      </c>
      <c r="J23" s="7" t="s">
        <v>23</v>
      </c>
      <c r="K23" s="2"/>
      <c r="L23" s="2"/>
      <c r="M23" s="2" t="n">
        <f aca="false">COUNT(E23,G23,I23,K23)</f>
        <v>1</v>
      </c>
      <c r="N23" s="4" t="n">
        <f aca="false">IF(M23=0,"Non trouvé",IFERROR(MODE(E23,G23,I23,K23),MEDIAN(E23,G23,I23,K23)))</f>
        <v>47</v>
      </c>
      <c r="O23" s="2" t="str">
        <f aca="false">IF(M23=0,"Non trouvé",IF(M23=1,"Source unique",IF(ISNUMBER(MODE(E23,G23,I23,K23)),"Prix le plus fréquent","Aucun prix répété : médiane")))</f>
        <v>Source unique</v>
      </c>
      <c r="P23" s="5" t="n">
        <f aca="false">IF(AND(ISNUMBER(N23),ISNUMBER(D23)),D23-N23,"")</f>
        <v>-2</v>
      </c>
      <c r="Q23" s="6" t="n">
        <f aca="false">IF(AND(ISNUMBER(N23),ISNUMBER(D23)),D23/N23-1,"")</f>
        <v>-0.0425531914893617</v>
      </c>
      <c r="R23" s="2" t="s">
        <v>83</v>
      </c>
    </row>
    <row r="24" customFormat="false" ht="15" hidden="false" customHeight="false" outlineLevel="0" collapsed="false">
      <c r="A24" s="2" t="s">
        <v>84</v>
      </c>
      <c r="B24" s="2" t="s">
        <v>85</v>
      </c>
      <c r="C24" s="2" t="n">
        <v>19</v>
      </c>
      <c r="D24" s="3" t="n">
        <v>45</v>
      </c>
      <c r="E24" s="2"/>
      <c r="F24" s="2"/>
      <c r="G24" s="3" t="n">
        <v>38.9</v>
      </c>
      <c r="H24" s="7" t="s">
        <v>23</v>
      </c>
      <c r="I24" s="3" t="n">
        <v>39</v>
      </c>
      <c r="J24" s="7" t="s">
        <v>23</v>
      </c>
      <c r="K24" s="2"/>
      <c r="L24" s="2"/>
      <c r="M24" s="2" t="n">
        <f aca="false">COUNT(E24,G24,I24,K24)</f>
        <v>2</v>
      </c>
      <c r="N24" s="4" t="n">
        <f aca="false">IF(M24=0,"Non trouvé",IFERROR(MODE(E24,G24,I24,K24),MEDIAN(E24,G24,I24,K24)))</f>
        <v>38.95</v>
      </c>
      <c r="O24" s="2" t="str">
        <f aca="false">IF(M24=0,"Non trouvé",IF(M24=1,"Source unique",IF(ISNUMBER(MODE(E24,G24,I24,K24)),"Prix le plus fréquent","Aucun prix répété : médiane")))</f>
        <v>Aucun prix répété : médiane</v>
      </c>
      <c r="P24" s="5" t="n">
        <f aca="false">IF(AND(ISNUMBER(N24),ISNUMBER(D24)),D24-N24,"")</f>
        <v>6.05</v>
      </c>
      <c r="Q24" s="6" t="n">
        <f aca="false">IF(AND(ISNUMBER(N24),ISNUMBER(D24)),D24/N24-1,"")</f>
        <v>0.155327342747112</v>
      </c>
      <c r="R24" s="2" t="s">
        <v>86</v>
      </c>
    </row>
    <row r="25" customFormat="false" ht="15" hidden="false" customHeight="false" outlineLevel="0" collapsed="false">
      <c r="A25" s="2" t="s">
        <v>87</v>
      </c>
      <c r="B25" s="2" t="s">
        <v>88</v>
      </c>
      <c r="C25" s="2" t="n">
        <v>10</v>
      </c>
      <c r="D25" s="3" t="n">
        <v>45</v>
      </c>
      <c r="E25" s="2"/>
      <c r="F25" s="2"/>
      <c r="G25" s="2"/>
      <c r="H25" s="2"/>
      <c r="I25" s="3" t="n">
        <v>39</v>
      </c>
      <c r="J25" s="7" t="s">
        <v>23</v>
      </c>
      <c r="K25" s="2"/>
      <c r="L25" s="2"/>
      <c r="M25" s="2" t="n">
        <f aca="false">COUNT(E25,G25,I25,K25)</f>
        <v>1</v>
      </c>
      <c r="N25" s="4" t="n">
        <f aca="false">IF(M25=0,"Non trouvé",IFERROR(MODE(E25,G25,I25,K25),MEDIAN(E25,G25,I25,K25)))</f>
        <v>39</v>
      </c>
      <c r="O25" s="2" t="str">
        <f aca="false">IF(M25=0,"Non trouvé",IF(M25=1,"Source unique",IF(ISNUMBER(MODE(E25,G25,I25,K25)),"Prix le plus fréquent","Aucun prix répété : médiane")))</f>
        <v>Source unique</v>
      </c>
      <c r="P25" s="5" t="n">
        <f aca="false">IF(AND(ISNUMBER(N25),ISNUMBER(D25)),D25-N25,"")</f>
        <v>6</v>
      </c>
      <c r="Q25" s="6" t="n">
        <f aca="false">IF(AND(ISNUMBER(N25),ISNUMBER(D25)),D25/N25-1,"")</f>
        <v>0.153846153846154</v>
      </c>
      <c r="R25" s="2" t="s">
        <v>89</v>
      </c>
    </row>
    <row r="26" customFormat="false" ht="15" hidden="false" customHeight="false" outlineLevel="0" collapsed="false">
      <c r="A26" s="2" t="s">
        <v>90</v>
      </c>
      <c r="B26" s="2" t="s">
        <v>91</v>
      </c>
      <c r="C26" s="2" t="n">
        <v>8</v>
      </c>
      <c r="D26" s="3" t="n">
        <v>38</v>
      </c>
      <c r="E26" s="2"/>
      <c r="F26" s="2"/>
      <c r="G26" s="2"/>
      <c r="H26" s="2"/>
      <c r="I26" s="3" t="n">
        <v>30</v>
      </c>
      <c r="J26" s="7" t="s">
        <v>23</v>
      </c>
      <c r="K26" s="2"/>
      <c r="L26" s="2"/>
      <c r="M26" s="2" t="n">
        <f aca="false">COUNT(E26,G26,I26,K26)</f>
        <v>1</v>
      </c>
      <c r="N26" s="4" t="n">
        <f aca="false">IF(M26=0,"Non trouvé",IFERROR(MODE(E26,G26,I26,K26),MEDIAN(E26,G26,I26,K26)))</f>
        <v>30</v>
      </c>
      <c r="O26" s="2" t="str">
        <f aca="false">IF(M26=0,"Non trouvé",IF(M26=1,"Source unique",IF(ISNUMBER(MODE(E26,G26,I26,K26)),"Prix le plus fréquent","Aucun prix répété : médiane")))</f>
        <v>Source unique</v>
      </c>
      <c r="P26" s="5" t="n">
        <f aca="false">IF(AND(ISNUMBER(N26),ISNUMBER(D26)),D26-N26,"")</f>
        <v>8</v>
      </c>
      <c r="Q26" s="6" t="n">
        <f aca="false">IF(AND(ISNUMBER(N26),ISNUMBER(D26)),D26/N26-1,"")</f>
        <v>0.266666666666667</v>
      </c>
      <c r="R26" s="2" t="s">
        <v>78</v>
      </c>
    </row>
    <row r="27" customFormat="false" ht="15" hidden="false" customHeight="false" outlineLevel="0" collapsed="false">
      <c r="A27" s="2" t="s">
        <v>92</v>
      </c>
      <c r="B27" s="2" t="s">
        <v>93</v>
      </c>
      <c r="C27" s="2" t="n">
        <v>17</v>
      </c>
      <c r="D27" s="3" t="n">
        <v>35</v>
      </c>
      <c r="E27" s="2"/>
      <c r="F27" s="2"/>
      <c r="G27" s="2"/>
      <c r="H27" s="2"/>
      <c r="I27" s="3" t="n">
        <v>27</v>
      </c>
      <c r="J27" s="7" t="s">
        <v>23</v>
      </c>
      <c r="K27" s="2"/>
      <c r="L27" s="2"/>
      <c r="M27" s="2" t="n">
        <f aca="false">COUNT(E27,G27,I27,K27)</f>
        <v>1</v>
      </c>
      <c r="N27" s="4" t="n">
        <f aca="false">IF(M27=0,"Non trouvé",IFERROR(MODE(E27,G27,I27,K27),MEDIAN(E27,G27,I27,K27)))</f>
        <v>27</v>
      </c>
      <c r="O27" s="2" t="str">
        <f aca="false">IF(M27=0,"Non trouvé",IF(M27=1,"Source unique",IF(ISNUMBER(MODE(E27,G27,I27,K27)),"Prix le plus fréquent","Aucun prix répété : médiane")))</f>
        <v>Source unique</v>
      </c>
      <c r="P27" s="5" t="n">
        <f aca="false">IF(AND(ISNUMBER(N27),ISNUMBER(D27)),D27-N27,"")</f>
        <v>8</v>
      </c>
      <c r="Q27" s="6" t="n">
        <f aca="false">IF(AND(ISNUMBER(N27),ISNUMBER(D27)),D27/N27-1,"")</f>
        <v>0.296296296296296</v>
      </c>
      <c r="R27" s="2" t="s">
        <v>94</v>
      </c>
    </row>
    <row r="28" customFormat="false" ht="15" hidden="false" customHeight="false" outlineLevel="0" collapsed="false">
      <c r="A28" s="2" t="s">
        <v>95</v>
      </c>
      <c r="B28" s="2" t="s">
        <v>96</v>
      </c>
      <c r="C28" s="2" t="n">
        <v>15</v>
      </c>
      <c r="D28" s="3" t="n">
        <v>35</v>
      </c>
      <c r="E28" s="2"/>
      <c r="F28" s="2"/>
      <c r="G28" s="2"/>
      <c r="H28" s="2"/>
      <c r="I28" s="3" t="n">
        <v>26</v>
      </c>
      <c r="J28" s="7" t="s">
        <v>23</v>
      </c>
      <c r="K28" s="2"/>
      <c r="L28" s="2"/>
      <c r="M28" s="2" t="n">
        <f aca="false">COUNT(E28,G28,I28,K28)</f>
        <v>1</v>
      </c>
      <c r="N28" s="4" t="n">
        <f aca="false">IF(M28=0,"Non trouvé",IFERROR(MODE(E28,G28,I28,K28),MEDIAN(E28,G28,I28,K28)))</f>
        <v>26</v>
      </c>
      <c r="O28" s="2" t="str">
        <f aca="false">IF(M28=0,"Non trouvé",IF(M28=1,"Source unique",IF(ISNUMBER(MODE(E28,G28,I28,K28)),"Prix le plus fréquent","Aucun prix répété : médiane")))</f>
        <v>Source unique</v>
      </c>
      <c r="P28" s="5" t="n">
        <f aca="false">IF(AND(ISNUMBER(N28),ISNUMBER(D28)),D28-N28,"")</f>
        <v>9</v>
      </c>
      <c r="Q28" s="6" t="n">
        <f aca="false">IF(AND(ISNUMBER(N28),ISNUMBER(D28)),D28/N28-1,"")</f>
        <v>0.346153846153846</v>
      </c>
      <c r="R28" s="2" t="s">
        <v>97</v>
      </c>
    </row>
    <row r="29" customFormat="false" ht="15" hidden="false" customHeight="false" outlineLevel="0" collapsed="false">
      <c r="A29" s="2" t="s">
        <v>98</v>
      </c>
      <c r="B29" s="2" t="s">
        <v>99</v>
      </c>
      <c r="C29" s="2" t="n">
        <v>15</v>
      </c>
      <c r="D29" s="3" t="n">
        <v>70</v>
      </c>
      <c r="E29" s="2"/>
      <c r="F29" s="2"/>
      <c r="G29" s="2"/>
      <c r="H29" s="2"/>
      <c r="I29" s="3" t="n">
        <v>66</v>
      </c>
      <c r="J29" s="7" t="s">
        <v>23</v>
      </c>
      <c r="K29" s="2"/>
      <c r="L29" s="2"/>
      <c r="M29" s="2" t="n">
        <f aca="false">COUNT(E29,G29,I29,K29)</f>
        <v>1</v>
      </c>
      <c r="N29" s="4" t="n">
        <f aca="false">IF(M29=0,"Non trouvé",IFERROR(MODE(E29,G29,I29,K29),MEDIAN(E29,G29,I29,K29)))</f>
        <v>66</v>
      </c>
      <c r="O29" s="2" t="str">
        <f aca="false">IF(M29=0,"Non trouvé",IF(M29=1,"Source unique",IF(ISNUMBER(MODE(E29,G29,I29,K29)),"Prix le plus fréquent","Aucun prix répété : médiane")))</f>
        <v>Source unique</v>
      </c>
      <c r="P29" s="5" t="n">
        <f aca="false">IF(AND(ISNUMBER(N29),ISNUMBER(D29)),D29-N29,"")</f>
        <v>4</v>
      </c>
      <c r="Q29" s="6" t="n">
        <f aca="false">IF(AND(ISNUMBER(N29),ISNUMBER(D29)),D29/N29-1,"")</f>
        <v>0.0606060606060606</v>
      </c>
      <c r="R29" s="2" t="s">
        <v>100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n">
        <v>8</v>
      </c>
      <c r="D30" s="3" t="n">
        <v>50</v>
      </c>
      <c r="E30" s="2"/>
      <c r="F30" s="2"/>
      <c r="G30" s="2"/>
      <c r="H30" s="2"/>
      <c r="I30" s="3" t="n">
        <v>47</v>
      </c>
      <c r="J30" s="7" t="s">
        <v>23</v>
      </c>
      <c r="K30" s="2"/>
      <c r="L30" s="2"/>
      <c r="M30" s="2" t="n">
        <f aca="false">COUNT(E30,G30,I30,K30)</f>
        <v>1</v>
      </c>
      <c r="N30" s="4" t="n">
        <f aca="false">IF(M30=0,"Non trouvé",IFERROR(MODE(E30,G30,I30,K30),MEDIAN(E30,G30,I30,K30)))</f>
        <v>47</v>
      </c>
      <c r="O30" s="2" t="str">
        <f aca="false">IF(M30=0,"Non trouvé",IF(M30=1,"Source unique",IF(ISNUMBER(MODE(E30,G30,I30,K30)),"Prix le plus fréquent","Aucun prix répété : médiane")))</f>
        <v>Source unique</v>
      </c>
      <c r="P30" s="5" t="n">
        <f aca="false">IF(AND(ISNUMBER(N30),ISNUMBER(D30)),D30-N30,"")</f>
        <v>3</v>
      </c>
      <c r="Q30" s="6" t="n">
        <f aca="false">IF(AND(ISNUMBER(N30),ISNUMBER(D30)),D30/N30-1,"")</f>
        <v>0.0638297872340425</v>
      </c>
      <c r="R30" s="2" t="s">
        <v>83</v>
      </c>
    </row>
    <row r="31" customFormat="false" ht="15" hidden="false" customHeight="false" outlineLevel="0" collapsed="false">
      <c r="A31" s="2" t="s">
        <v>103</v>
      </c>
      <c r="B31" s="2" t="s">
        <v>104</v>
      </c>
      <c r="C31" s="2" t="n">
        <v>21</v>
      </c>
      <c r="D31" s="3" t="n">
        <v>90</v>
      </c>
      <c r="E31" s="2"/>
      <c r="F31" s="2"/>
      <c r="G31" s="3" t="n">
        <v>71.58</v>
      </c>
      <c r="H31" s="7" t="s">
        <v>23</v>
      </c>
      <c r="I31" s="3" t="n">
        <v>73</v>
      </c>
      <c r="J31" s="7" t="s">
        <v>23</v>
      </c>
      <c r="K31" s="2"/>
      <c r="L31" s="2"/>
      <c r="M31" s="2" t="n">
        <f aca="false">COUNT(E31,G31,I31,K31)</f>
        <v>2</v>
      </c>
      <c r="N31" s="4" t="n">
        <f aca="false">IF(M31=0,"Non trouvé",IFERROR(MODE(E31,G31,I31,K31),MEDIAN(E31,G31,I31,K31)))</f>
        <v>72.29</v>
      </c>
      <c r="O31" s="2" t="str">
        <f aca="false">IF(M31=0,"Non trouvé",IF(M31=1,"Source unique",IF(ISNUMBER(MODE(E31,G31,I31,K31)),"Prix le plus fréquent","Aucun prix répété : médiane")))</f>
        <v>Aucun prix répété : médiane</v>
      </c>
      <c r="P31" s="5" t="n">
        <f aca="false">IF(AND(ISNUMBER(N31),ISNUMBER(D31)),D31-N31,"")</f>
        <v>17.71</v>
      </c>
      <c r="Q31" s="6" t="n">
        <f aca="false">IF(AND(ISNUMBER(N31),ISNUMBER(D31)),D31/N31-1,"")</f>
        <v>0.244985475169456</v>
      </c>
      <c r="R31" s="2" t="s">
        <v>105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n">
        <v>15</v>
      </c>
      <c r="D32" s="3" t="n">
        <v>45</v>
      </c>
      <c r="E32" s="2"/>
      <c r="F32" s="2"/>
      <c r="G32" s="2"/>
      <c r="H32" s="2"/>
      <c r="I32" s="3" t="n">
        <v>39</v>
      </c>
      <c r="J32" s="7" t="s">
        <v>23</v>
      </c>
      <c r="K32" s="2"/>
      <c r="L32" s="2"/>
      <c r="M32" s="2" t="n">
        <f aca="false">COUNT(E32,G32,I32,K32)</f>
        <v>1</v>
      </c>
      <c r="N32" s="4" t="n">
        <f aca="false">IF(M32=0,"Non trouvé",IFERROR(MODE(E32,G32,I32,K32),MEDIAN(E32,G32,I32,K32)))</f>
        <v>39</v>
      </c>
      <c r="O32" s="2" t="str">
        <f aca="false">IF(M32=0,"Non trouvé",IF(M32=1,"Source unique",IF(ISNUMBER(MODE(E32,G32,I32,K32)),"Prix le plus fréquent","Aucun prix répété : médiane")))</f>
        <v>Source unique</v>
      </c>
      <c r="P32" s="5" t="n">
        <f aca="false">IF(AND(ISNUMBER(N32),ISNUMBER(D32)),D32-N32,"")</f>
        <v>6</v>
      </c>
      <c r="Q32" s="6" t="n">
        <f aca="false">IF(AND(ISNUMBER(N32),ISNUMBER(D32)),D32/N32-1,"")</f>
        <v>0.153846153846154</v>
      </c>
      <c r="R32" s="2" t="s">
        <v>89</v>
      </c>
    </row>
    <row r="33" customFormat="false" ht="15" hidden="false" customHeight="false" outlineLevel="0" collapsed="false">
      <c r="A33" s="2" t="s">
        <v>108</v>
      </c>
      <c r="B33" s="2" t="s">
        <v>109</v>
      </c>
      <c r="C33" s="2" t="n">
        <v>18</v>
      </c>
      <c r="D33" s="3" t="n">
        <v>40</v>
      </c>
      <c r="E33" s="2"/>
      <c r="F33" s="2"/>
      <c r="G33" s="2"/>
      <c r="H33" s="2"/>
      <c r="I33" s="3" t="n">
        <v>33</v>
      </c>
      <c r="J33" s="7" t="s">
        <v>23</v>
      </c>
      <c r="K33" s="2"/>
      <c r="L33" s="2"/>
      <c r="M33" s="2" t="n">
        <f aca="false">COUNT(E33,G33,I33,K33)</f>
        <v>1</v>
      </c>
      <c r="N33" s="4" t="n">
        <f aca="false">IF(M33=0,"Non trouvé",IFERROR(MODE(E33,G33,I33,K33),MEDIAN(E33,G33,I33,K33)))</f>
        <v>33</v>
      </c>
      <c r="O33" s="2" t="str">
        <f aca="false">IF(M33=0,"Non trouvé",IF(M33=1,"Source unique",IF(ISNUMBER(MODE(E33,G33,I33,K33)),"Prix le plus fréquent","Aucun prix répété : médiane")))</f>
        <v>Source unique</v>
      </c>
      <c r="P33" s="5" t="n">
        <f aca="false">IF(AND(ISNUMBER(N33),ISNUMBER(D33)),D33-N33,"")</f>
        <v>7</v>
      </c>
      <c r="Q33" s="6" t="n">
        <f aca="false">IF(AND(ISNUMBER(N33),ISNUMBER(D33)),D33/N33-1,"")</f>
        <v>0.212121212121212</v>
      </c>
      <c r="R33" s="2" t="s">
        <v>110</v>
      </c>
    </row>
    <row r="34" customFormat="false" ht="15" hidden="false" customHeight="false" outlineLevel="0" collapsed="false">
      <c r="A34" s="2" t="s">
        <v>111</v>
      </c>
      <c r="B34" s="2" t="s">
        <v>112</v>
      </c>
      <c r="C34" s="2" t="n">
        <v>18</v>
      </c>
      <c r="D34" s="3" t="n">
        <v>40</v>
      </c>
      <c r="E34" s="2"/>
      <c r="F34" s="2"/>
      <c r="G34" s="2"/>
      <c r="H34" s="2"/>
      <c r="I34" s="3" t="n">
        <v>35</v>
      </c>
      <c r="J34" s="7" t="s">
        <v>23</v>
      </c>
      <c r="K34" s="2"/>
      <c r="L34" s="2"/>
      <c r="M34" s="2" t="n">
        <f aca="false">COUNT(E34,G34,I34,K34)</f>
        <v>1</v>
      </c>
      <c r="N34" s="4" t="n">
        <f aca="false">IF(M34=0,"Non trouvé",IFERROR(MODE(E34,G34,I34,K34),MEDIAN(E34,G34,I34,K34)))</f>
        <v>35</v>
      </c>
      <c r="O34" s="2" t="str">
        <f aca="false">IF(M34=0,"Non trouvé",IF(M34=1,"Source unique",IF(ISNUMBER(MODE(E34,G34,I34,K34)),"Prix le plus fréquent","Aucun prix répété : médiane")))</f>
        <v>Source unique</v>
      </c>
      <c r="P34" s="5" t="n">
        <f aca="false">IF(AND(ISNUMBER(N34),ISNUMBER(D34)),D34-N34,"")</f>
        <v>5</v>
      </c>
      <c r="Q34" s="6" t="n">
        <f aca="false">IF(AND(ISNUMBER(N34),ISNUMBER(D34)),D34/N34-1,"")</f>
        <v>0.142857142857143</v>
      </c>
      <c r="R34" s="2" t="s">
        <v>113</v>
      </c>
    </row>
    <row r="35" customFormat="false" ht="15" hidden="false" customHeight="false" outlineLevel="0" collapsed="false">
      <c r="A35" s="2" t="s">
        <v>114</v>
      </c>
      <c r="B35" s="2" t="s">
        <v>115</v>
      </c>
      <c r="C35" s="2" t="n">
        <v>12</v>
      </c>
      <c r="D35" s="3" t="n">
        <v>36</v>
      </c>
      <c r="E35" s="2"/>
      <c r="F35" s="2"/>
      <c r="G35" s="2"/>
      <c r="H35" s="2"/>
      <c r="I35" s="3" t="n">
        <v>31</v>
      </c>
      <c r="J35" s="7" t="s">
        <v>23</v>
      </c>
      <c r="K35" s="2"/>
      <c r="L35" s="2"/>
      <c r="M35" s="2" t="n">
        <f aca="false">COUNT(E35,G35,I35,K35)</f>
        <v>1</v>
      </c>
      <c r="N35" s="4" t="n">
        <f aca="false">IF(M35=0,"Non trouvé",IFERROR(MODE(E35,G35,I35,K35),MEDIAN(E35,G35,I35,K35)))</f>
        <v>31</v>
      </c>
      <c r="O35" s="2" t="str">
        <f aca="false">IF(M35=0,"Non trouvé",IF(M35=1,"Source unique",IF(ISNUMBER(MODE(E35,G35,I35,K35)),"Prix le plus fréquent","Aucun prix répété : médiane")))</f>
        <v>Source unique</v>
      </c>
      <c r="P35" s="5" t="n">
        <f aca="false">IF(AND(ISNUMBER(N35),ISNUMBER(D35)),D35-N35,"")</f>
        <v>5</v>
      </c>
      <c r="Q35" s="6" t="n">
        <f aca="false">IF(AND(ISNUMBER(N35),ISNUMBER(D35)),D35/N35-1,"")</f>
        <v>0.161290322580645</v>
      </c>
      <c r="R35" s="2" t="s">
        <v>116</v>
      </c>
    </row>
    <row r="36" customFormat="false" ht="15" hidden="false" customHeight="false" outlineLevel="0" collapsed="false">
      <c r="A36" s="2" t="s">
        <v>117</v>
      </c>
      <c r="B36" s="2" t="s">
        <v>118</v>
      </c>
      <c r="C36" s="2" t="n">
        <v>14</v>
      </c>
      <c r="D36" s="3" t="n">
        <v>35</v>
      </c>
      <c r="E36" s="2"/>
      <c r="F36" s="2"/>
      <c r="G36" s="2"/>
      <c r="H36" s="2"/>
      <c r="I36" s="3" t="n">
        <v>27</v>
      </c>
      <c r="J36" s="7" t="s">
        <v>23</v>
      </c>
      <c r="K36" s="2"/>
      <c r="L36" s="2"/>
      <c r="M36" s="2" t="n">
        <f aca="false">COUNT(E36,G36,I36,K36)</f>
        <v>1</v>
      </c>
      <c r="N36" s="4" t="n">
        <f aca="false">IF(M36=0,"Non trouvé",IFERROR(MODE(E36,G36,I36,K36),MEDIAN(E36,G36,I36,K36)))</f>
        <v>27</v>
      </c>
      <c r="O36" s="2" t="str">
        <f aca="false">IF(M36=0,"Non trouvé",IF(M36=1,"Source unique",IF(ISNUMBER(MODE(E36,G36,I36,K36)),"Prix le plus fréquent","Aucun prix répété : médiane")))</f>
        <v>Source unique</v>
      </c>
      <c r="P36" s="5" t="n">
        <f aca="false">IF(AND(ISNUMBER(N36),ISNUMBER(D36)),D36-N36,"")</f>
        <v>8</v>
      </c>
      <c r="Q36" s="6" t="n">
        <f aca="false">IF(AND(ISNUMBER(N36),ISNUMBER(D36)),D36/N36-1,"")</f>
        <v>0.296296296296296</v>
      </c>
      <c r="R36" s="2" t="s">
        <v>94</v>
      </c>
    </row>
    <row r="37" customFormat="false" ht="15" hidden="false" customHeight="false" outlineLevel="0" collapsed="false">
      <c r="A37" s="2" t="s">
        <v>119</v>
      </c>
      <c r="B37" s="2" t="s">
        <v>120</v>
      </c>
      <c r="C37" s="2" t="n">
        <v>16</v>
      </c>
      <c r="D37" s="3" t="n">
        <v>35</v>
      </c>
      <c r="E37" s="2"/>
      <c r="F37" s="2"/>
      <c r="G37" s="2"/>
      <c r="H37" s="2"/>
      <c r="I37" s="3" t="n">
        <v>29</v>
      </c>
      <c r="J37" s="7" t="s">
        <v>23</v>
      </c>
      <c r="K37" s="2"/>
      <c r="L37" s="2"/>
      <c r="M37" s="2" t="n">
        <f aca="false">COUNT(E37,G37,I37,K37)</f>
        <v>1</v>
      </c>
      <c r="N37" s="4" t="n">
        <f aca="false">IF(M37=0,"Non trouvé",IFERROR(MODE(E37,G37,I37,K37),MEDIAN(E37,G37,I37,K37)))</f>
        <v>29</v>
      </c>
      <c r="O37" s="2" t="str">
        <f aca="false">IF(M37=0,"Non trouvé",IF(M37=1,"Source unique",IF(ISNUMBER(MODE(E37,G37,I37,K37)),"Prix le plus fréquent","Aucun prix répété : médiane")))</f>
        <v>Source unique</v>
      </c>
      <c r="P37" s="5" t="n">
        <f aca="false">IF(AND(ISNUMBER(N37),ISNUMBER(D37)),D37-N37,"")</f>
        <v>6</v>
      </c>
      <c r="Q37" s="6" t="n">
        <f aca="false">IF(AND(ISNUMBER(N37),ISNUMBER(D37)),D37/N37-1,"")</f>
        <v>0.206896551724138</v>
      </c>
      <c r="R37" s="2" t="s">
        <v>121</v>
      </c>
    </row>
    <row r="38" customFormat="false" ht="15" hidden="false" customHeight="false" outlineLevel="0" collapsed="false">
      <c r="A38" s="2" t="s">
        <v>122</v>
      </c>
      <c r="B38" s="2" t="s">
        <v>123</v>
      </c>
      <c r="C38" s="2" t="n">
        <v>70</v>
      </c>
      <c r="D38" s="3" t="n">
        <v>70</v>
      </c>
      <c r="E38" s="3" t="n">
        <v>46.9</v>
      </c>
      <c r="F38" s="7" t="s">
        <v>23</v>
      </c>
      <c r="G38" s="3" t="n">
        <v>49.9</v>
      </c>
      <c r="H38" s="7" t="s">
        <v>23</v>
      </c>
      <c r="I38" s="3" t="n">
        <v>48</v>
      </c>
      <c r="J38" s="7" t="s">
        <v>23</v>
      </c>
      <c r="K38" s="2"/>
      <c r="L38" s="2"/>
      <c r="M38" s="2" t="n">
        <f aca="false">COUNT(E38,G38,I38,K38)</f>
        <v>3</v>
      </c>
      <c r="N38" s="4" t="n">
        <f aca="false">IF(M38=0,"Non trouvé",IFERROR(MODE(E38,G38,I38,K38),MEDIAN(E38,G38,I38,K38)))</f>
        <v>48</v>
      </c>
      <c r="O38" s="2" t="str">
        <f aca="false">IF(M38=0,"Non trouvé",IF(M38=1,"Source unique",IF(ISNUMBER(MODE(E38,G38,I38,K38)),"Prix le plus fréquent","Aucun prix répété : médiane")))</f>
        <v>Aucun prix répété : médiane</v>
      </c>
      <c r="P38" s="5" t="n">
        <f aca="false">IF(AND(ISNUMBER(N38),ISNUMBER(D38)),D38-N38,"")</f>
        <v>22</v>
      </c>
      <c r="Q38" s="6" t="n">
        <f aca="false">IF(AND(ISNUMBER(N38),ISNUMBER(D38)),D38/N38-1,"")</f>
        <v>0.458333333333333</v>
      </c>
      <c r="R38" s="2" t="s">
        <v>124</v>
      </c>
    </row>
    <row r="39" customFormat="false" ht="15" hidden="false" customHeight="false" outlineLevel="0" collapsed="false">
      <c r="A39" s="2" t="s">
        <v>125</v>
      </c>
      <c r="B39" s="2" t="s">
        <v>126</v>
      </c>
      <c r="C39" s="2" t="n">
        <v>6</v>
      </c>
      <c r="D39" s="3" t="n">
        <v>450</v>
      </c>
      <c r="E39" s="2"/>
      <c r="F39" s="2"/>
      <c r="G39" s="3" t="n">
        <v>449</v>
      </c>
      <c r="H39" s="7" t="s">
        <v>23</v>
      </c>
      <c r="I39" s="3" t="n">
        <v>449</v>
      </c>
      <c r="J39" s="7" t="s">
        <v>23</v>
      </c>
      <c r="K39" s="3" t="n">
        <v>450</v>
      </c>
      <c r="L39" s="7" t="s">
        <v>23</v>
      </c>
      <c r="M39" s="2" t="n">
        <f aca="false">COUNT(E39,G39,I39,K39)</f>
        <v>3</v>
      </c>
      <c r="N39" s="4" t="n">
        <f aca="false">IF(M39=0,"Non trouvé",IFERROR(MODE(E39,G39,I39,K39),MEDIAN(E39,G39,I39,K39)))</f>
        <v>449</v>
      </c>
      <c r="O39" s="2" t="str">
        <f aca="false">IF(M39=0,"Non trouvé",IF(M39=1,"Source unique",IF(ISNUMBER(MODE(E39,G39,I39,K39)),"Prix le plus fréquent","Aucun prix répété : médiane")))</f>
        <v>Prix le plus fréquent</v>
      </c>
      <c r="P39" s="5" t="n">
        <f aca="false">IF(AND(ISNUMBER(N39),ISNUMBER(D39)),D39-N39,"")</f>
        <v>1</v>
      </c>
      <c r="Q39" s="6" t="n">
        <f aca="false">IF(AND(ISNUMBER(N39),ISNUMBER(D39)),D39/N39-1,"")</f>
        <v>0.00222717149220486</v>
      </c>
      <c r="R39" s="2" t="s">
        <v>127</v>
      </c>
    </row>
    <row r="40" customFormat="false" ht="15" hidden="false" customHeight="false" outlineLevel="0" collapsed="false">
      <c r="A40" s="2" t="s">
        <v>128</v>
      </c>
      <c r="B40" s="2" t="s">
        <v>129</v>
      </c>
      <c r="C40" s="2" t="n">
        <v>2</v>
      </c>
      <c r="D40" s="3" t="n">
        <v>70</v>
      </c>
      <c r="E40" s="2"/>
      <c r="F40" s="2"/>
      <c r="G40" s="2"/>
      <c r="H40" s="2"/>
      <c r="I40" s="2"/>
      <c r="J40" s="2"/>
      <c r="K40" s="2"/>
      <c r="L40" s="2"/>
      <c r="M40" s="2" t="n">
        <f aca="false">COUNT(E40,G40,I40,K40)</f>
        <v>0</v>
      </c>
      <c r="N40" s="4" t="str">
        <f aca="false">IF(M40=0,"Non trouvé",IFERROR(MODE(E40,G40,I40,K40),MEDIAN(E40,G40,I40,K40)))</f>
        <v>Non trouvé</v>
      </c>
      <c r="O40" s="2" t="str">
        <f aca="false">IF(M40=0,"Non trouvé",IF(M40=1,"Source unique",IF(ISNUMBER(MODE(E40,G40,I40,K40)),"Prix le plus fréquent","Aucun prix répété : médiane")))</f>
        <v>Non trouvé</v>
      </c>
      <c r="P40" s="5" t="str">
        <f aca="false">IF(AND(ISNUMBER(N40),ISNUMBER(D40)),D40-N40,"")</f>
        <v/>
      </c>
      <c r="Q40" s="6" t="str">
        <f aca="false">IF(AND(ISNUMBER(N40),ISNUMBER(D40)),D40/N40-1,"")</f>
        <v/>
      </c>
      <c r="R40" s="2" t="s">
        <v>42</v>
      </c>
    </row>
    <row r="41" customFormat="false" ht="15" hidden="false" customHeight="false" outlineLevel="0" collapsed="false">
      <c r="A41" s="2" t="s">
        <v>130</v>
      </c>
      <c r="B41" s="2" t="s">
        <v>131</v>
      </c>
      <c r="C41" s="2" t="n">
        <v>0</v>
      </c>
      <c r="D41" s="3" t="n">
        <v>50</v>
      </c>
      <c r="E41" s="2"/>
      <c r="F41" s="2"/>
      <c r="G41" s="2"/>
      <c r="H41" s="2"/>
      <c r="I41" s="2"/>
      <c r="J41" s="2"/>
      <c r="K41" s="2"/>
      <c r="L41" s="2"/>
      <c r="M41" s="2" t="n">
        <f aca="false">COUNT(E41,G41,I41,K41)</f>
        <v>0</v>
      </c>
      <c r="N41" s="4" t="str">
        <f aca="false">IF(M41=0,"Non trouvé",IFERROR(MODE(E41,G41,I41,K41),MEDIAN(E41,G41,I41,K41)))</f>
        <v>Non trouvé</v>
      </c>
      <c r="O41" s="2" t="str">
        <f aca="false">IF(M41=0,"Non trouvé",IF(M41=1,"Source unique",IF(ISNUMBER(MODE(E41,G41,I41,K41)),"Prix le plus fréquent","Aucun prix répété : médiane")))</f>
        <v>Non trouvé</v>
      </c>
      <c r="P41" s="5" t="str">
        <f aca="false">IF(AND(ISNUMBER(N41),ISNUMBER(D41)),D41-N41,"")</f>
        <v/>
      </c>
      <c r="Q41" s="6" t="str">
        <f aca="false">IF(AND(ISNUMBER(N41),ISNUMBER(D41)),D41/N41-1,"")</f>
        <v/>
      </c>
      <c r="R41" s="2" t="s">
        <v>42</v>
      </c>
    </row>
    <row r="42" customFormat="false" ht="15" hidden="false" customHeight="false" outlineLevel="0" collapsed="false">
      <c r="A42" s="2" t="s">
        <v>132</v>
      </c>
      <c r="B42" s="2" t="s">
        <v>133</v>
      </c>
      <c r="C42" s="2" t="n">
        <v>1</v>
      </c>
      <c r="D42" s="3" t="n">
        <v>13000</v>
      </c>
      <c r="E42" s="2"/>
      <c r="F42" s="2"/>
      <c r="G42" s="2"/>
      <c r="H42" s="2"/>
      <c r="I42" s="3" t="n">
        <v>10623</v>
      </c>
      <c r="J42" s="7" t="s">
        <v>23</v>
      </c>
      <c r="K42" s="2"/>
      <c r="L42" s="2"/>
      <c r="M42" s="2" t="n">
        <f aca="false">COUNT(E42,G42,I42,K42)</f>
        <v>1</v>
      </c>
      <c r="N42" s="4" t="n">
        <f aca="false">IF(M42=0,"Non trouvé",IFERROR(MODE(E42,G42,I42,K42),MEDIAN(E42,G42,I42,K42)))</f>
        <v>10623</v>
      </c>
      <c r="O42" s="2" t="str">
        <f aca="false">IF(M42=0,"Non trouvé",IF(M42=1,"Source unique",IF(ISNUMBER(MODE(E42,G42,I42,K42)),"Prix le plus fréquent","Aucun prix répété : médiane")))</f>
        <v>Source unique</v>
      </c>
      <c r="P42" s="5" t="n">
        <f aca="false">IF(AND(ISNUMBER(N42),ISNUMBER(D42)),D42-N42,"")</f>
        <v>2377</v>
      </c>
      <c r="Q42" s="6" t="n">
        <f aca="false">IF(AND(ISNUMBER(N42),ISNUMBER(D42)),D42/N42-1,"")</f>
        <v>0.223759766544291</v>
      </c>
      <c r="R42" s="2" t="s">
        <v>134</v>
      </c>
    </row>
    <row r="43" customFormat="false" ht="15" hidden="false" customHeight="false" outlineLevel="0" collapsed="false">
      <c r="A43" s="2" t="s">
        <v>135</v>
      </c>
      <c r="B43" s="2" t="s">
        <v>136</v>
      </c>
      <c r="C43" s="2" t="n">
        <v>0</v>
      </c>
      <c r="D43" s="3" t="n">
        <v>7300</v>
      </c>
      <c r="E43" s="3" t="n">
        <v>7369</v>
      </c>
      <c r="F43" s="7" t="s">
        <v>23</v>
      </c>
      <c r="G43" s="3" t="n">
        <v>6999</v>
      </c>
      <c r="H43" s="7" t="s">
        <v>23</v>
      </c>
      <c r="I43" s="3" t="n">
        <v>6983</v>
      </c>
      <c r="J43" s="7" t="s">
        <v>23</v>
      </c>
      <c r="K43" s="2"/>
      <c r="L43" s="2"/>
      <c r="M43" s="2" t="n">
        <f aca="false">COUNT(E43,G43,I43,K43)</f>
        <v>3</v>
      </c>
      <c r="N43" s="4" t="n">
        <f aca="false">IF(M43=0,"Non trouvé",IFERROR(MODE(E43,G43,I43,K43),MEDIAN(E43,G43,I43,K43)))</f>
        <v>6999</v>
      </c>
      <c r="O43" s="2" t="str">
        <f aca="false">IF(M43=0,"Non trouvé",IF(M43=1,"Source unique",IF(ISNUMBER(MODE(E43,G43,I43,K43)),"Prix le plus fréquent","Aucun prix répété : médiane")))</f>
        <v>Aucun prix répété : médiane</v>
      </c>
      <c r="P43" s="5" t="n">
        <f aca="false">IF(AND(ISNUMBER(N43),ISNUMBER(D43)),D43-N43,"")</f>
        <v>301</v>
      </c>
      <c r="Q43" s="6" t="n">
        <f aca="false">IF(AND(ISNUMBER(N43),ISNUMBER(D43)),D43/N43-1,"")</f>
        <v>0.0430061437348193</v>
      </c>
      <c r="R43" s="2" t="s">
        <v>137</v>
      </c>
    </row>
    <row r="44" customFormat="false" ht="15" hidden="false" customHeight="false" outlineLevel="0" collapsed="false">
      <c r="A44" s="2" t="s">
        <v>138</v>
      </c>
      <c r="B44" s="2" t="s">
        <v>139</v>
      </c>
      <c r="C44" s="2" t="n">
        <v>15</v>
      </c>
      <c r="D44" s="3" t="n">
        <v>1600</v>
      </c>
      <c r="E44" s="2"/>
      <c r="F44" s="2"/>
      <c r="G44" s="3" t="n">
        <v>1249</v>
      </c>
      <c r="H44" s="7" t="s">
        <v>23</v>
      </c>
      <c r="I44" s="3" t="n">
        <v>1346</v>
      </c>
      <c r="J44" s="7" t="s">
        <v>23</v>
      </c>
      <c r="K44" s="2"/>
      <c r="L44" s="2"/>
      <c r="M44" s="2" t="n">
        <f aca="false">COUNT(E44,G44,I44,K44)</f>
        <v>2</v>
      </c>
      <c r="N44" s="4" t="n">
        <f aca="false">IF(M44=0,"Non trouvé",IFERROR(MODE(E44,G44,I44,K44),MEDIAN(E44,G44,I44,K44)))</f>
        <v>1297.5</v>
      </c>
      <c r="O44" s="2" t="str">
        <f aca="false">IF(M44=0,"Non trouvé",IF(M44=1,"Source unique",IF(ISNUMBER(MODE(E44,G44,I44,K44)),"Prix le plus fréquent","Aucun prix répété : médiane")))</f>
        <v>Aucun prix répété : médiane</v>
      </c>
      <c r="P44" s="5" t="n">
        <f aca="false">IF(AND(ISNUMBER(N44),ISNUMBER(D44)),D44-N44,"")</f>
        <v>302.5</v>
      </c>
      <c r="Q44" s="6" t="n">
        <f aca="false">IF(AND(ISNUMBER(N44),ISNUMBER(D44)),D44/N44-1,"")</f>
        <v>0.233140655105973</v>
      </c>
      <c r="R44" s="2" t="s">
        <v>140</v>
      </c>
    </row>
    <row r="45" customFormat="false" ht="15" hidden="false" customHeight="false" outlineLevel="0" collapsed="false">
      <c r="A45" s="2" t="s">
        <v>141</v>
      </c>
      <c r="B45" s="2" t="s">
        <v>142</v>
      </c>
      <c r="C45" s="2" t="n">
        <v>1</v>
      </c>
      <c r="D45" s="3" t="n">
        <v>7613.93</v>
      </c>
      <c r="E45" s="2"/>
      <c r="F45" s="2"/>
      <c r="G45" s="2"/>
      <c r="H45" s="2"/>
      <c r="I45" s="3" t="n">
        <v>6718</v>
      </c>
      <c r="J45" s="7" t="s">
        <v>23</v>
      </c>
      <c r="K45" s="2"/>
      <c r="L45" s="2"/>
      <c r="M45" s="2" t="n">
        <f aca="false">COUNT(E45,G45,I45,K45)</f>
        <v>1</v>
      </c>
      <c r="N45" s="4" t="n">
        <f aca="false">IF(M45=0,"Non trouvé",IFERROR(MODE(E45,G45,I45,K45),MEDIAN(E45,G45,I45,K45)))</f>
        <v>6718</v>
      </c>
      <c r="O45" s="2" t="str">
        <f aca="false">IF(M45=0,"Non trouvé",IF(M45=1,"Source unique",IF(ISNUMBER(MODE(E45,G45,I45,K45)),"Prix le plus fréquent","Aucun prix répété : médiane")))</f>
        <v>Source unique</v>
      </c>
      <c r="P45" s="5" t="n">
        <f aca="false">IF(AND(ISNUMBER(N45),ISNUMBER(D45)),D45-N45,"")</f>
        <v>895.93</v>
      </c>
      <c r="Q45" s="6" t="n">
        <f aca="false">IF(AND(ISNUMBER(N45),ISNUMBER(D45)),D45/N45-1,"")</f>
        <v>0.133362607919024</v>
      </c>
      <c r="R45" s="2" t="s">
        <v>143</v>
      </c>
    </row>
    <row r="46" customFormat="false" ht="15" hidden="false" customHeight="false" outlineLevel="0" collapsed="false">
      <c r="A46" s="2" t="s">
        <v>144</v>
      </c>
      <c r="B46" s="2" t="s">
        <v>145</v>
      </c>
      <c r="C46" s="2" t="n">
        <v>2</v>
      </c>
      <c r="D46" s="3" t="n">
        <v>5300</v>
      </c>
      <c r="E46" s="3" t="n">
        <v>7369</v>
      </c>
      <c r="F46" s="7" t="s">
        <v>23</v>
      </c>
      <c r="G46" s="3" t="n">
        <v>6999</v>
      </c>
      <c r="H46" s="7" t="s">
        <v>23</v>
      </c>
      <c r="I46" s="3" t="n">
        <v>6983</v>
      </c>
      <c r="J46" s="7" t="s">
        <v>23</v>
      </c>
      <c r="K46" s="2"/>
      <c r="L46" s="2"/>
      <c r="M46" s="2" t="n">
        <f aca="false">COUNT(E46,G46,I46,K46)</f>
        <v>3</v>
      </c>
      <c r="N46" s="4" t="n">
        <f aca="false">IF(M46=0,"Non trouvé",IFERROR(MODE(E46,G46,I46,K46),MEDIAN(E46,G46,I46,K46)))</f>
        <v>6999</v>
      </c>
      <c r="O46" s="2" t="str">
        <f aca="false">IF(M46=0,"Non trouvé",IF(M46=1,"Source unique",IF(ISNUMBER(MODE(E46,G46,I46,K46)),"Prix le plus fréquent","Aucun prix répété : médiane")))</f>
        <v>Aucun prix répété : médiane</v>
      </c>
      <c r="P46" s="5" t="n">
        <f aca="false">IF(AND(ISNUMBER(N46),ISNUMBER(D46)),D46-N46,"")</f>
        <v>-1699</v>
      </c>
      <c r="Q46" s="6" t="n">
        <f aca="false">IF(AND(ISNUMBER(N46),ISNUMBER(D46)),D46/N46-1,"")</f>
        <v>-0.242748964137734</v>
      </c>
      <c r="R46" s="2" t="s">
        <v>146</v>
      </c>
    </row>
    <row r="47" customFormat="false" ht="15" hidden="false" customHeight="false" outlineLevel="0" collapsed="false">
      <c r="A47" s="2" t="s">
        <v>147</v>
      </c>
      <c r="B47" s="2" t="s">
        <v>148</v>
      </c>
      <c r="C47" s="2" t="n">
        <v>0</v>
      </c>
      <c r="D47" s="3" t="n">
        <v>75</v>
      </c>
      <c r="E47" s="2"/>
      <c r="F47" s="2"/>
      <c r="G47" s="2"/>
      <c r="H47" s="2"/>
      <c r="I47" s="2"/>
      <c r="J47" s="2"/>
      <c r="K47" s="2"/>
      <c r="L47" s="2"/>
      <c r="M47" s="2" t="n">
        <f aca="false">COUNT(E47,G47,I47,K47)</f>
        <v>0</v>
      </c>
      <c r="N47" s="4" t="str">
        <f aca="false">IF(M47=0,"Non trouvé",IFERROR(MODE(E47,G47,I47,K47),MEDIAN(E47,G47,I47,K47)))</f>
        <v>Non trouvé</v>
      </c>
      <c r="O47" s="2" t="str">
        <f aca="false">IF(M47=0,"Non trouvé",IF(M47=1,"Source unique",IF(ISNUMBER(MODE(E47,G47,I47,K47)),"Prix le plus fréquent","Aucun prix répété : médiane")))</f>
        <v>Non trouvé</v>
      </c>
      <c r="P47" s="5" t="str">
        <f aca="false">IF(AND(ISNUMBER(N47),ISNUMBER(D47)),D47-N47,"")</f>
        <v/>
      </c>
      <c r="Q47" s="6" t="str">
        <f aca="false">IF(AND(ISNUMBER(N47),ISNUMBER(D47)),D47/N47-1,"")</f>
        <v/>
      </c>
      <c r="R47" s="2" t="s">
        <v>42</v>
      </c>
    </row>
    <row r="48" customFormat="false" ht="15" hidden="false" customHeight="false" outlineLevel="0" collapsed="false">
      <c r="A48" s="2" t="s">
        <v>149</v>
      </c>
      <c r="B48" s="2" t="s">
        <v>150</v>
      </c>
      <c r="C48" s="2" t="n">
        <v>1</v>
      </c>
      <c r="D48" s="3" t="n">
        <v>70</v>
      </c>
      <c r="E48" s="2"/>
      <c r="F48" s="2"/>
      <c r="G48" s="2"/>
      <c r="H48" s="2"/>
      <c r="I48" s="2"/>
      <c r="J48" s="2"/>
      <c r="K48" s="2"/>
      <c r="L48" s="2"/>
      <c r="M48" s="2" t="n">
        <f aca="false">COUNT(E48,G48,I48,K48)</f>
        <v>0</v>
      </c>
      <c r="N48" s="4" t="str">
        <f aca="false">IF(M48=0,"Non trouvé",IFERROR(MODE(E48,G48,I48,K48),MEDIAN(E48,G48,I48,K48)))</f>
        <v>Non trouvé</v>
      </c>
      <c r="O48" s="2" t="str">
        <f aca="false">IF(M48=0,"Non trouvé",IF(M48=1,"Source unique",IF(ISNUMBER(MODE(E48,G48,I48,K48)),"Prix le plus fréquent","Aucun prix répété : médiane")))</f>
        <v>Non trouvé</v>
      </c>
      <c r="P48" s="5" t="str">
        <f aca="false">IF(AND(ISNUMBER(N48),ISNUMBER(D48)),D48-N48,"")</f>
        <v/>
      </c>
      <c r="Q48" s="6" t="str">
        <f aca="false">IF(AND(ISNUMBER(N48),ISNUMBER(D48)),D48/N48-1,"")</f>
        <v/>
      </c>
      <c r="R48" s="2" t="s">
        <v>42</v>
      </c>
    </row>
    <row r="49" customFormat="false" ht="15" hidden="false" customHeight="false" outlineLevel="0" collapsed="false">
      <c r="A49" s="2" t="s">
        <v>151</v>
      </c>
      <c r="B49" s="2" t="s">
        <v>152</v>
      </c>
      <c r="C49" s="2" t="n">
        <v>37</v>
      </c>
      <c r="D49" s="3" t="n">
        <v>75</v>
      </c>
      <c r="E49" s="2"/>
      <c r="F49" s="2"/>
      <c r="G49" s="2"/>
      <c r="H49" s="2"/>
      <c r="I49" s="2"/>
      <c r="J49" s="2"/>
      <c r="K49" s="2"/>
      <c r="L49" s="2"/>
      <c r="M49" s="2" t="n">
        <f aca="false">COUNT(E49,G49,I49,K49)</f>
        <v>0</v>
      </c>
      <c r="N49" s="4" t="str">
        <f aca="false">IF(M49=0,"Non trouvé",IFERROR(MODE(E49,G49,I49,K49),MEDIAN(E49,G49,I49,K49)))</f>
        <v>Non trouvé</v>
      </c>
      <c r="O49" s="2" t="str">
        <f aca="false">IF(M49=0,"Non trouvé",IF(M49=1,"Source unique",IF(ISNUMBER(MODE(E49,G49,I49,K49)),"Prix le plus fréquent","Aucun prix répété : médiane")))</f>
        <v>Non trouvé</v>
      </c>
      <c r="P49" s="5" t="str">
        <f aca="false">IF(AND(ISNUMBER(N49),ISNUMBER(D49)),D49-N49,"")</f>
        <v/>
      </c>
      <c r="Q49" s="6" t="str">
        <f aca="false">IF(AND(ISNUMBER(N49),ISNUMBER(D49)),D49/N49-1,"")</f>
        <v/>
      </c>
      <c r="R49" s="2" t="s">
        <v>42</v>
      </c>
    </row>
    <row r="50" customFormat="false" ht="15" hidden="false" customHeight="false" outlineLevel="0" collapsed="false">
      <c r="A50" s="2" t="s">
        <v>153</v>
      </c>
      <c r="B50" s="2" t="s">
        <v>154</v>
      </c>
      <c r="C50" s="2" t="n">
        <v>0</v>
      </c>
      <c r="D50" s="3" t="n">
        <v>50</v>
      </c>
      <c r="E50" s="2"/>
      <c r="F50" s="2"/>
      <c r="G50" s="2"/>
      <c r="H50" s="2"/>
      <c r="I50" s="2"/>
      <c r="J50" s="2"/>
      <c r="K50" s="2"/>
      <c r="L50" s="2"/>
      <c r="M50" s="2" t="n">
        <f aca="false">COUNT(E50,G50,I50,K50)</f>
        <v>0</v>
      </c>
      <c r="N50" s="4" t="str">
        <f aca="false">IF(M50=0,"Non trouvé",IFERROR(MODE(E50,G50,I50,K50),MEDIAN(E50,G50,I50,K50)))</f>
        <v>Non trouvé</v>
      </c>
      <c r="O50" s="2" t="str">
        <f aca="false">IF(M50=0,"Non trouvé",IF(M50=1,"Source unique",IF(ISNUMBER(MODE(E50,G50,I50,K50)),"Prix le plus fréquent","Aucun prix répété : médiane")))</f>
        <v>Non trouvé</v>
      </c>
      <c r="P50" s="5" t="str">
        <f aca="false">IF(AND(ISNUMBER(N50),ISNUMBER(D50)),D50-N50,"")</f>
        <v/>
      </c>
      <c r="Q50" s="6" t="str">
        <f aca="false">IF(AND(ISNUMBER(N50),ISNUMBER(D50)),D50/N50-1,"")</f>
        <v/>
      </c>
      <c r="R50" s="2" t="s">
        <v>42</v>
      </c>
    </row>
    <row r="51" customFormat="false" ht="15" hidden="false" customHeight="false" outlineLevel="0" collapsed="false">
      <c r="A51" s="2" t="s">
        <v>155</v>
      </c>
      <c r="B51" s="2" t="s">
        <v>156</v>
      </c>
      <c r="C51" s="2" t="n">
        <v>1</v>
      </c>
      <c r="D51" s="3" t="n">
        <v>350</v>
      </c>
      <c r="E51" s="2"/>
      <c r="F51" s="2"/>
      <c r="G51" s="2"/>
      <c r="H51" s="2"/>
      <c r="I51" s="2"/>
      <c r="J51" s="2"/>
      <c r="K51" s="2"/>
      <c r="L51" s="2"/>
      <c r="M51" s="2" t="n">
        <f aca="false">COUNT(E51,G51,I51,K51)</f>
        <v>0</v>
      </c>
      <c r="N51" s="4" t="str">
        <f aca="false">IF(M51=0,"Non trouvé",IFERROR(MODE(E51,G51,I51,K51),MEDIAN(E51,G51,I51,K51)))</f>
        <v>Non trouvé</v>
      </c>
      <c r="O51" s="2" t="str">
        <f aca="false">IF(M51=0,"Non trouvé",IF(M51=1,"Source unique",IF(ISNUMBER(MODE(E51,G51,I51,K51)),"Prix le plus fréquent","Aucun prix répété : médiane")))</f>
        <v>Non trouvé</v>
      </c>
      <c r="P51" s="5" t="str">
        <f aca="false">IF(AND(ISNUMBER(N51),ISNUMBER(D51)),D51-N51,"")</f>
        <v/>
      </c>
      <c r="Q51" s="6" t="str">
        <f aca="false">IF(AND(ISNUMBER(N51),ISNUMBER(D51)),D51/N51-1,"")</f>
        <v/>
      </c>
      <c r="R51" s="2" t="s">
        <v>157</v>
      </c>
    </row>
    <row r="52" customFormat="false" ht="15" hidden="false" customHeight="false" outlineLevel="0" collapsed="false">
      <c r="A52" s="2" t="s">
        <v>158</v>
      </c>
      <c r="B52" s="2" t="s">
        <v>159</v>
      </c>
      <c r="C52" s="2" t="n">
        <v>11</v>
      </c>
      <c r="D52" s="3" t="n">
        <v>35</v>
      </c>
      <c r="E52" s="2"/>
      <c r="F52" s="2"/>
      <c r="G52" s="2"/>
      <c r="H52" s="2"/>
      <c r="I52" s="2"/>
      <c r="J52" s="2"/>
      <c r="K52" s="2"/>
      <c r="L52" s="2"/>
      <c r="M52" s="2" t="n">
        <f aca="false">COUNT(E52,G52,I52,K52)</f>
        <v>0</v>
      </c>
      <c r="N52" s="4" t="str">
        <f aca="false">IF(M52=0,"Non trouvé",IFERROR(MODE(E52,G52,I52,K52),MEDIAN(E52,G52,I52,K52)))</f>
        <v>Non trouvé</v>
      </c>
      <c r="O52" s="2" t="str">
        <f aca="false">IF(M52=0,"Non trouvé",IF(M52=1,"Source unique",IF(ISNUMBER(MODE(E52,G52,I52,K52)),"Prix le plus fréquent","Aucun prix répété : médiane")))</f>
        <v>Non trouvé</v>
      </c>
      <c r="P52" s="5" t="str">
        <f aca="false">IF(AND(ISNUMBER(N52),ISNUMBER(D52)),D52-N52,"")</f>
        <v/>
      </c>
      <c r="Q52" s="6" t="str">
        <f aca="false">IF(AND(ISNUMBER(N52),ISNUMBER(D52)),D52/N52-1,"")</f>
        <v/>
      </c>
      <c r="R52" s="2" t="s">
        <v>42</v>
      </c>
    </row>
    <row r="53" customFormat="false" ht="15" hidden="false" customHeight="false" outlineLevel="0" collapsed="false">
      <c r="A53" s="2" t="s">
        <v>160</v>
      </c>
      <c r="B53" s="2" t="s">
        <v>161</v>
      </c>
      <c r="C53" s="2" t="n">
        <v>1</v>
      </c>
      <c r="D53" s="3" t="n">
        <v>2500</v>
      </c>
      <c r="E53" s="2"/>
      <c r="F53" s="2"/>
      <c r="G53" s="2"/>
      <c r="H53" s="2"/>
      <c r="I53" s="2"/>
      <c r="J53" s="2"/>
      <c r="K53" s="2"/>
      <c r="L53" s="2"/>
      <c r="M53" s="2" t="n">
        <f aca="false">COUNT(E53,G53,I53,K53)</f>
        <v>0</v>
      </c>
      <c r="N53" s="4" t="str">
        <f aca="false">IF(M53=0,"Non trouvé",IFERROR(MODE(E53,G53,I53,K53),MEDIAN(E53,G53,I53,K53)))</f>
        <v>Non trouvé</v>
      </c>
      <c r="O53" s="2" t="str">
        <f aca="false">IF(M53=0,"Non trouvé",IF(M53=1,"Source unique",IF(ISNUMBER(MODE(E53,G53,I53,K53)),"Prix le plus fréquent","Aucun prix répété : médiane")))</f>
        <v>Non trouvé</v>
      </c>
      <c r="P53" s="5" t="str">
        <f aca="false">IF(AND(ISNUMBER(N53),ISNUMBER(D53)),D53-N53,"")</f>
        <v/>
      </c>
      <c r="Q53" s="6" t="str">
        <f aca="false">IF(AND(ISNUMBER(N53),ISNUMBER(D53)),D53/N53-1,"")</f>
        <v/>
      </c>
      <c r="R53" s="2" t="s">
        <v>162</v>
      </c>
    </row>
    <row r="54" customFormat="false" ht="15" hidden="false" customHeight="false" outlineLevel="0" collapsed="false">
      <c r="A54" s="2" t="s">
        <v>163</v>
      </c>
      <c r="B54" s="2" t="s">
        <v>164</v>
      </c>
      <c r="C54" s="2" t="n">
        <v>114</v>
      </c>
      <c r="D54" s="3" t="n">
        <v>50</v>
      </c>
      <c r="E54" s="2"/>
      <c r="F54" s="2"/>
      <c r="G54" s="2"/>
      <c r="H54" s="2"/>
      <c r="I54" s="2"/>
      <c r="J54" s="2"/>
      <c r="K54" s="2"/>
      <c r="L54" s="2"/>
      <c r="M54" s="2" t="n">
        <f aca="false">COUNT(E54,G54,I54,K54)</f>
        <v>0</v>
      </c>
      <c r="N54" s="4" t="str">
        <f aca="false">IF(M54=0,"Non trouvé",IFERROR(MODE(E54,G54,I54,K54),MEDIAN(E54,G54,I54,K54)))</f>
        <v>Non trouvé</v>
      </c>
      <c r="O54" s="2" t="str">
        <f aca="false">IF(M54=0,"Non trouvé",IF(M54=1,"Source unique",IF(ISNUMBER(MODE(E54,G54,I54,K54)),"Prix le plus fréquent","Aucun prix répété : médiane")))</f>
        <v>Non trouvé</v>
      </c>
      <c r="P54" s="5" t="str">
        <f aca="false">IF(AND(ISNUMBER(N54),ISNUMBER(D54)),D54-N54,"")</f>
        <v/>
      </c>
      <c r="Q54" s="6" t="str">
        <f aca="false">IF(AND(ISNUMBER(N54),ISNUMBER(D54)),D54/N54-1,"")</f>
        <v/>
      </c>
      <c r="R54" s="2" t="s">
        <v>57</v>
      </c>
    </row>
    <row r="55" customFormat="false" ht="15" hidden="false" customHeight="false" outlineLevel="0" collapsed="false">
      <c r="A55" s="2" t="s">
        <v>165</v>
      </c>
      <c r="B55" s="2" t="s">
        <v>166</v>
      </c>
      <c r="C55" s="2" t="n">
        <v>424</v>
      </c>
      <c r="D55" s="3" t="n">
        <v>70</v>
      </c>
      <c r="E55" s="2"/>
      <c r="F55" s="2"/>
      <c r="G55" s="2"/>
      <c r="H55" s="2"/>
      <c r="I55" s="2"/>
      <c r="J55" s="2"/>
      <c r="K55" s="2"/>
      <c r="L55" s="2"/>
      <c r="M55" s="2" t="n">
        <f aca="false">COUNT(E55,G55,I55,K55)</f>
        <v>0</v>
      </c>
      <c r="N55" s="4" t="str">
        <f aca="false">IF(M55=0,"Non trouvé",IFERROR(MODE(E55,G55,I55,K55),MEDIAN(E55,G55,I55,K55)))</f>
        <v>Non trouvé</v>
      </c>
      <c r="O55" s="2" t="str">
        <f aca="false">IF(M55=0,"Non trouvé",IF(M55=1,"Source unique",IF(ISNUMBER(MODE(E55,G55,I55,K55)),"Prix le plus fréquent","Aucun prix répété : médiane")))</f>
        <v>Non trouvé</v>
      </c>
      <c r="P55" s="5" t="str">
        <f aca="false">IF(AND(ISNUMBER(N55),ISNUMBER(D55)),D55-N55,"")</f>
        <v/>
      </c>
      <c r="Q55" s="6" t="str">
        <f aca="false">IF(AND(ISNUMBER(N55),ISNUMBER(D55)),D55/N55-1,"")</f>
        <v/>
      </c>
      <c r="R55" s="2" t="s">
        <v>57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n">
        <v>88</v>
      </c>
      <c r="D56" s="3" t="n">
        <v>450</v>
      </c>
      <c r="E56" s="2"/>
      <c r="F56" s="2"/>
      <c r="G56" s="3" t="n">
        <v>449</v>
      </c>
      <c r="H56" s="7" t="s">
        <v>23</v>
      </c>
      <c r="I56" s="3" t="n">
        <v>449</v>
      </c>
      <c r="J56" s="7" t="s">
        <v>23</v>
      </c>
      <c r="K56" s="3" t="n">
        <v>450</v>
      </c>
      <c r="L56" s="7" t="s">
        <v>23</v>
      </c>
      <c r="M56" s="2" t="n">
        <f aca="false">COUNT(E56,G56,I56,K56)</f>
        <v>3</v>
      </c>
      <c r="N56" s="4" t="n">
        <f aca="false">IF(M56=0,"Non trouvé",IFERROR(MODE(E56,G56,I56,K56),MEDIAN(E56,G56,I56,K56)))</f>
        <v>449</v>
      </c>
      <c r="O56" s="2" t="str">
        <f aca="false">IF(M56=0,"Non trouvé",IF(M56=1,"Source unique",IF(ISNUMBER(MODE(E56,G56,I56,K56)),"Prix le plus fréquent","Aucun prix répété : médiane")))</f>
        <v>Prix le plus fréquent</v>
      </c>
      <c r="P56" s="5" t="n">
        <f aca="false">IF(AND(ISNUMBER(N56),ISNUMBER(D56)),D56-N56,"")</f>
        <v>1</v>
      </c>
      <c r="Q56" s="6" t="n">
        <f aca="false">IF(AND(ISNUMBER(N56),ISNUMBER(D56)),D56/N56-1,"")</f>
        <v>0.00222717149220486</v>
      </c>
      <c r="R56" s="2" t="s">
        <v>169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n">
        <v>58</v>
      </c>
      <c r="D57" s="3" t="n">
        <v>1200</v>
      </c>
      <c r="E57" s="3" t="n">
        <v>1039</v>
      </c>
      <c r="F57" s="7" t="s">
        <v>23</v>
      </c>
      <c r="G57" s="3" t="n">
        <v>1159</v>
      </c>
      <c r="H57" s="7" t="s">
        <v>23</v>
      </c>
      <c r="I57" s="3" t="n">
        <v>1309</v>
      </c>
      <c r="J57" s="7" t="s">
        <v>23</v>
      </c>
      <c r="K57" s="2"/>
      <c r="L57" s="2"/>
      <c r="M57" s="2" t="n">
        <f aca="false">COUNT(E57,G57,I57,K57)</f>
        <v>3</v>
      </c>
      <c r="N57" s="4" t="n">
        <f aca="false">IF(M57=0,"Non trouvé",IFERROR(MODE(E57,G57,I57,K57),MEDIAN(E57,G57,I57,K57)))</f>
        <v>1159</v>
      </c>
      <c r="O57" s="2" t="str">
        <f aca="false">IF(M57=0,"Non trouvé",IF(M57=1,"Source unique",IF(ISNUMBER(MODE(E57,G57,I57,K57)),"Prix le plus fréquent","Aucun prix répété : médiane")))</f>
        <v>Aucun prix répété : médiane</v>
      </c>
      <c r="P57" s="5" t="n">
        <f aca="false">IF(AND(ISNUMBER(N57),ISNUMBER(D57)),D57-N57,"")</f>
        <v>41</v>
      </c>
      <c r="Q57" s="6" t="n">
        <f aca="false">IF(AND(ISNUMBER(N57),ISNUMBER(D57)),D57/N57-1,"")</f>
        <v>0.0353753235547887</v>
      </c>
      <c r="R57" s="2" t="s">
        <v>172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n">
        <v>67</v>
      </c>
      <c r="D58" s="3" t="n">
        <v>75</v>
      </c>
      <c r="E58" s="3" t="n">
        <v>52</v>
      </c>
      <c r="F58" s="7" t="s">
        <v>23</v>
      </c>
      <c r="G58" s="3" t="n">
        <v>55</v>
      </c>
      <c r="H58" s="7" t="s">
        <v>23</v>
      </c>
      <c r="I58" s="3" t="n">
        <v>53</v>
      </c>
      <c r="J58" s="7" t="s">
        <v>23</v>
      </c>
      <c r="K58" s="2"/>
      <c r="L58" s="2"/>
      <c r="M58" s="2" t="n">
        <f aca="false">COUNT(E58,G58,I58,K58)</f>
        <v>3</v>
      </c>
      <c r="N58" s="4" t="n">
        <f aca="false">IF(M58=0,"Non trouvé",IFERROR(MODE(E58,G58,I58,K58),MEDIAN(E58,G58,I58,K58)))</f>
        <v>53</v>
      </c>
      <c r="O58" s="2" t="str">
        <f aca="false">IF(M58=0,"Non trouvé",IF(M58=1,"Source unique",IF(ISNUMBER(MODE(E58,G58,I58,K58)),"Prix le plus fréquent","Aucun prix répété : médiane")))</f>
        <v>Aucun prix répété : médiane</v>
      </c>
      <c r="P58" s="5" t="n">
        <f aca="false">IF(AND(ISNUMBER(N58),ISNUMBER(D58)),D58-N58,"")</f>
        <v>22</v>
      </c>
      <c r="Q58" s="6" t="n">
        <f aca="false">IF(AND(ISNUMBER(N58),ISNUMBER(D58)),D58/N58-1,"")</f>
        <v>0.415094339622641</v>
      </c>
      <c r="R58" s="2" t="s">
        <v>175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n">
        <v>4</v>
      </c>
      <c r="D59" s="3" t="n">
        <v>70</v>
      </c>
      <c r="E59" s="3" t="n">
        <v>50</v>
      </c>
      <c r="F59" s="7" t="s">
        <v>23</v>
      </c>
      <c r="G59" s="3" t="n">
        <v>52.9</v>
      </c>
      <c r="H59" s="7" t="s">
        <v>23</v>
      </c>
      <c r="I59" s="3" t="n">
        <v>52</v>
      </c>
      <c r="J59" s="7" t="s">
        <v>23</v>
      </c>
      <c r="K59" s="2"/>
      <c r="L59" s="2"/>
      <c r="M59" s="2" t="n">
        <f aca="false">COUNT(E59,G59,I59,K59)</f>
        <v>3</v>
      </c>
      <c r="N59" s="4" t="n">
        <f aca="false">IF(M59=0,"Non trouvé",IFERROR(MODE(E59,G59,I59,K59),MEDIAN(E59,G59,I59,K59)))</f>
        <v>52</v>
      </c>
      <c r="O59" s="2" t="str">
        <f aca="false">IF(M59=0,"Non trouvé",IF(M59=1,"Source unique",IF(ISNUMBER(MODE(E59,G59,I59,K59)),"Prix le plus fréquent","Aucun prix répété : médiane")))</f>
        <v>Aucun prix répété : médiane</v>
      </c>
      <c r="P59" s="5" t="n">
        <f aca="false">IF(AND(ISNUMBER(N59),ISNUMBER(D59)),D59-N59,"")</f>
        <v>18</v>
      </c>
      <c r="Q59" s="6" t="n">
        <f aca="false">IF(AND(ISNUMBER(N59),ISNUMBER(D59)),D59/N59-1,"")</f>
        <v>0.346153846153846</v>
      </c>
      <c r="R59" s="2" t="s">
        <v>178</v>
      </c>
    </row>
    <row r="61" customFormat="false" ht="15" hidden="false" customHeight="false" outlineLevel="0" collapsed="false">
      <c r="A61" s="8" t="s">
        <v>179</v>
      </c>
    </row>
    <row r="62" customFormat="false" ht="15" hidden="false" customHeight="false" outlineLevel="0" collapsed="false">
      <c r="A62" s="8" t="s">
        <v>180</v>
      </c>
    </row>
    <row r="63" customFormat="false" ht="15" hidden="false" customHeight="false" outlineLevel="0" collapsed="false">
      <c r="A63" s="8" t="s">
        <v>181</v>
      </c>
    </row>
  </sheetData>
  <autoFilter ref="A1:R59"/>
  <hyperlinks>
    <hyperlink ref="H3" r:id="rId1" display="Voir produit"/>
    <hyperlink ref="J3" r:id="rId2" display="Voir produit"/>
    <hyperlink ref="H4" r:id="rId3" display="Voir produit"/>
    <hyperlink ref="J4" r:id="rId4" display="Voir produit"/>
    <hyperlink ref="H5" r:id="rId5" display="Voir produit"/>
    <hyperlink ref="J6" r:id="rId6" display="Voir produit"/>
    <hyperlink ref="H7" r:id="rId7" display="Voir produit"/>
    <hyperlink ref="J7" r:id="rId8" display="Voir produit"/>
    <hyperlink ref="F8" r:id="rId9" display="Voir produit"/>
    <hyperlink ref="H8" r:id="rId10" display="Voir produit"/>
    <hyperlink ref="J8" r:id="rId11" display="Voir produit"/>
    <hyperlink ref="J11" r:id="rId12" display="Voir produit"/>
    <hyperlink ref="H12" r:id="rId13" display="Voir produit"/>
    <hyperlink ref="J12" r:id="rId14" display="Voir produit"/>
    <hyperlink ref="H13" r:id="rId15" display="Voir produit"/>
    <hyperlink ref="J13" r:id="rId16" display="Voir produit"/>
    <hyperlink ref="F15" r:id="rId17" display="Voir produit"/>
    <hyperlink ref="J15" r:id="rId18" display="Voir produit"/>
    <hyperlink ref="H16" r:id="rId19" display="Voir produit"/>
    <hyperlink ref="J16" r:id="rId20" display="Voir produit"/>
    <hyperlink ref="H18" r:id="rId21" display="Voir produit"/>
    <hyperlink ref="J18" r:id="rId22" display="Voir produit"/>
    <hyperlink ref="J19" r:id="rId23" display="Voir produit"/>
    <hyperlink ref="F20" r:id="rId24" display="Voir produit"/>
    <hyperlink ref="H20" r:id="rId25" display="Voir produit"/>
    <hyperlink ref="J20" r:id="rId26" display="Voir produit"/>
    <hyperlink ref="L20" r:id="rId27" display="Voir produit"/>
    <hyperlink ref="J21" r:id="rId28" display="Voir produit"/>
    <hyperlink ref="J23" r:id="rId29" display="Voir produit"/>
    <hyperlink ref="H24" r:id="rId30" display="Voir produit"/>
    <hyperlink ref="J24" r:id="rId31" display="Voir produit"/>
    <hyperlink ref="J25" r:id="rId32" display="Voir produit"/>
    <hyperlink ref="J26" r:id="rId33" display="Voir produit"/>
    <hyperlink ref="J27" r:id="rId34" display="Voir produit"/>
    <hyperlink ref="J28" r:id="rId35" display="Voir produit"/>
    <hyperlink ref="J29" r:id="rId36" display="Voir produit"/>
    <hyperlink ref="J30" r:id="rId37" display="Voir produit"/>
    <hyperlink ref="H31" r:id="rId38" display="Voir produit"/>
    <hyperlink ref="J31" r:id="rId39" display="Voir produit"/>
    <hyperlink ref="J32" r:id="rId40" display="Voir produit"/>
    <hyperlink ref="J33" r:id="rId41" display="Voir produit"/>
    <hyperlink ref="J34" r:id="rId42" display="Voir produit"/>
    <hyperlink ref="J35" r:id="rId43" display="Voir produit"/>
    <hyperlink ref="J36" r:id="rId44" display="Voir produit"/>
    <hyperlink ref="J37" r:id="rId45" display="Voir produit"/>
    <hyperlink ref="F38" r:id="rId46" display="Voir produit"/>
    <hyperlink ref="H38" r:id="rId47" display="Voir produit"/>
    <hyperlink ref="J38" r:id="rId48" display="Voir produit"/>
    <hyperlink ref="H39" r:id="rId49" display="Voir produit"/>
    <hyperlink ref="J39" r:id="rId50" display="Voir produit"/>
    <hyperlink ref="L39" r:id="rId51" display="Voir produit"/>
    <hyperlink ref="J42" r:id="rId52" display="Voir produit"/>
    <hyperlink ref="F43" r:id="rId53" display="Voir produit"/>
    <hyperlink ref="H43" r:id="rId54" display="Voir produit"/>
    <hyperlink ref="J43" r:id="rId55" display="Voir produit"/>
    <hyperlink ref="H44" r:id="rId56" display="Voir produit"/>
    <hyperlink ref="J44" r:id="rId57" display="Voir produit"/>
    <hyperlink ref="J45" r:id="rId58" display="Voir produit"/>
    <hyperlink ref="F46" r:id="rId59" display="Voir produit"/>
    <hyperlink ref="H46" r:id="rId60" display="Voir produit"/>
    <hyperlink ref="J46" r:id="rId61" display="Voir produit"/>
    <hyperlink ref="H56" r:id="rId62" display="Voir produit"/>
    <hyperlink ref="J56" r:id="rId63" display="Voir produit"/>
    <hyperlink ref="L56" r:id="rId64" display="Voir produit"/>
    <hyperlink ref="F57" r:id="rId65" display="Voir produit"/>
    <hyperlink ref="H57" r:id="rId66" display="Voir produit"/>
    <hyperlink ref="J57" r:id="rId67" display="Voir produit"/>
    <hyperlink ref="F58" r:id="rId68" display="Voir produit"/>
    <hyperlink ref="H58" r:id="rId69" display="Voir produit"/>
    <hyperlink ref="J58" r:id="rId70" display="Voir produit"/>
    <hyperlink ref="F59" r:id="rId71" display="Voir produit"/>
    <hyperlink ref="H59" r:id="rId72" display="Voir produit"/>
    <hyperlink ref="J59" r:id="rId73" display="Voir 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2026-10-10T20:46:18Z</dcterms:created>
  <dc:creator>openpyxl</dc:creator>
  <dc:description/>
  <dc:language>en-US</dc:language>
  <cp:lastModifiedBy/>
  <dcterms:modified xsi:type="dcterms:W3CDTF">2026-10-10T20:46:18Z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