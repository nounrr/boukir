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x Sika" sheetId="1" state="visible" r:id="rId3"/>
  </sheets>
  <definedNames>
    <definedName function="false" hidden="true" localSheetId="0" name="_xlnm._FilterDatabase" vbProcedure="false">'Prix Sika'!$A$1:$R$36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<sst xmlns="http://schemas.openxmlformats.org/spreadsheetml/2006/main" count="161" uniqueCount="103">
  <si>
    <t xml:space="preserve">Désignation</t>
  </si>
  <si>
    <t xml:space="preserve">Référence</t>
  </si>
  <si>
    <t xml:space="preserve">Stock</t>
  </si>
  <si>
    <t xml:space="preserve">Prix actuel</t>
  </si>
  <si>
    <t xml:space="preserve">Prix Bricoma</t>
  </si>
  <si>
    <t xml:space="preserve">Lien Bricoma</t>
  </si>
  <si>
    <t xml:space="preserve">Prix Mr Bricolage</t>
  </si>
  <si>
    <t xml:space="preserve">Lien Mr Bricolage</t>
  </si>
  <si>
    <t xml:space="preserve">Prix Bricop</t>
  </si>
  <si>
    <t xml:space="preserve">Lien Bricop</t>
  </si>
  <si>
    <t xml:space="preserve">Prix Outillage Aouami</t>
  </si>
  <si>
    <t xml:space="preserve">Lien Outillage Aouami</t>
  </si>
  <si>
    <t xml:space="preserve">Nb sites</t>
  </si>
  <si>
    <t xml:space="preserve">Prix retenu</t>
  </si>
  <si>
    <t xml:space="preserve">Méthode</t>
  </si>
  <si>
    <t xml:space="preserve">Écart (actuel − retenu)</t>
  </si>
  <si>
    <t xml:space="preserve">Écart %</t>
  </si>
  <si>
    <t xml:space="preserve">Remarque</t>
  </si>
  <si>
    <t xml:space="preserve">SIKA Level 110 25 kg</t>
  </si>
  <si>
    <t xml:space="preserve">6430</t>
  </si>
  <si>
    <t xml:space="preserve">Voir produit</t>
  </si>
  <si>
    <t xml:space="preserve">Probable : Bricop vend un « Mortier de nivellement Sika » sans fiche détaillée (Sikafloor-110 Level au Maroc) — à vérifier</t>
  </si>
  <si>
    <t xml:space="preserve">SIKA GROUTE 212 25 kg</t>
  </si>
  <si>
    <t xml:space="preserve">6171</t>
  </si>
  <si>
    <t xml:space="preserve">SIKA Monotop® - 411 RM</t>
  </si>
  <si>
    <t xml:space="preserve">5265</t>
  </si>
  <si>
    <t xml:space="preserve">Sikaflex Pro - 3</t>
  </si>
  <si>
    <t xml:space="preserve">5048</t>
  </si>
  <si>
    <t xml:space="preserve">Sika' Décoffrage 5 L</t>
  </si>
  <si>
    <t xml:space="preserve">3712</t>
  </si>
  <si>
    <t xml:space="preserve">SIKA WATERBAR D19 × 15 m Joint Jaune</t>
  </si>
  <si>
    <t xml:space="preserve">3423</t>
  </si>
  <si>
    <t xml:space="preserve">Introuvable en ligne au Maroc (vendu seulement en France, ex. bag-distribution.fr)</t>
  </si>
  <si>
    <t xml:space="preserve">SIKA LANKOSEC 321</t>
  </si>
  <si>
    <t xml:space="preserve">3323</t>
  </si>
  <si>
    <t xml:space="preserve">Introuvable en ligne au Maroc</t>
  </si>
  <si>
    <t xml:space="preserve">SIKA Conservador b25 L</t>
  </si>
  <si>
    <t xml:space="preserve">2408</t>
  </si>
  <si>
    <t xml:space="preserve">Bidon 25 L — en rupture chez Bricoma</t>
  </si>
  <si>
    <t xml:space="preserve">Sikafill® Toiture</t>
  </si>
  <si>
    <t xml:space="preserve">2406</t>
  </si>
  <si>
    <t xml:space="preserve">Format 20 kg supposé (votre prix 650). Bricop : Blanc 20 kg 795 / Rouge 20 kg 829. En 5 kg : Bricoma 135, Bricop 229</t>
  </si>
  <si>
    <t xml:space="preserve">SIKA Mortier Rapide 5 kg</t>
  </si>
  <si>
    <t xml:space="preserve">2405</t>
  </si>
  <si>
    <t xml:space="preserve">Seau 5 kg. Bricoma ne vend que le 10 kg (745)</t>
  </si>
  <si>
    <t xml:space="preserve">SIKA BOOM Mousse Construction</t>
  </si>
  <si>
    <t xml:space="preserve">2402</t>
  </si>
  <si>
    <t xml:space="preserve">Bombe 750 ml</t>
  </si>
  <si>
    <t xml:space="preserve">SikaCeram• 80I Blanc 25 kg</t>
  </si>
  <si>
    <t xml:space="preserve">2025</t>
  </si>
  <si>
    <t xml:space="preserve">SIKA M70 Blanc 20 kg</t>
  </si>
  <si>
    <t xml:space="preserve">2016</t>
  </si>
  <si>
    <t xml:space="preserve">SIKA 522 25 kg</t>
  </si>
  <si>
    <t xml:space="preserve">2015</t>
  </si>
  <si>
    <t xml:space="preserve">Introuvable en ligne au Maroc (SikaCeram 522 Prolidal)</t>
  </si>
  <si>
    <t xml:space="preserve">SIKA I 80 Gris 25 kg</t>
  </si>
  <si>
    <t xml:space="preserve">2011</t>
  </si>
  <si>
    <t xml:space="preserve">SIKA 1 kg</t>
  </si>
  <si>
    <t xml:space="preserve">1955</t>
  </si>
  <si>
    <t xml:space="preserve">Supposé Super Sikalite 1 kg (désignation ambiguë)</t>
  </si>
  <si>
    <t xml:space="preserve">SIKA Conservado 5 L</t>
  </si>
  <si>
    <t xml:space="preserve">1355</t>
  </si>
  <si>
    <t xml:space="preserve">Vendu « Conservado 5 kg » chez Mr Bricolage</t>
  </si>
  <si>
    <t xml:space="preserve">SIKA TOP®121 Surfaçage m</t>
  </si>
  <si>
    <t xml:space="preserve">1257</t>
  </si>
  <si>
    <t xml:space="preserve">SIKA TOP 122 Réparation m</t>
  </si>
  <si>
    <t xml:space="preserve">1256</t>
  </si>
  <si>
    <t xml:space="preserve">Sika Latex 5 L</t>
  </si>
  <si>
    <t xml:space="preserve">1194</t>
  </si>
  <si>
    <t xml:space="preserve">Sika Latex 2 L</t>
  </si>
  <si>
    <t xml:space="preserve">1193</t>
  </si>
  <si>
    <t xml:space="preserve">SIKA Dur 31 Colle m</t>
  </si>
  <si>
    <t xml:space="preserve">1192</t>
  </si>
  <si>
    <t xml:space="preserve">SILICONE SIKA FLEX PRO - 11FC</t>
  </si>
  <si>
    <t xml:space="preserve">6132</t>
  </si>
  <si>
    <t xml:space="preserve">SILICONE SIKA FLEX PRO - 11FC — Blanc</t>
  </si>
  <si>
    <t xml:space="preserve">SILICONE SIKA FLEX PRO - 11FC — Gris</t>
  </si>
  <si>
    <t xml:space="preserve">Hydrofuge Sika' Poudre 0.5kg</t>
  </si>
  <si>
    <t xml:space="preserve">1954</t>
  </si>
  <si>
    <t xml:space="preserve">Silicone Sikas Anchorfix2._</t>
  </si>
  <si>
    <t xml:space="preserve">1287</t>
  </si>
  <si>
    <t xml:space="preserve">MASTIC SIKA 544 MARRON 5 kg</t>
  </si>
  <si>
    <t xml:space="preserve">1268</t>
  </si>
  <si>
    <t xml:space="preserve">Introuvable en ligne au Maroc (ParexLanko/SikaCeram 543-544 Prolijoint)</t>
  </si>
  <si>
    <t xml:space="preserve">MASTIC SIKA 544 BLEU 5 kg</t>
  </si>
  <si>
    <t xml:space="preserve">1267</t>
  </si>
  <si>
    <t xml:space="preserve">MASTIC SIKA 543 Gris 5 kg</t>
  </si>
  <si>
    <t xml:space="preserve">1266</t>
  </si>
  <si>
    <t xml:space="preserve">MASTIC SIKA 543 Noir 5 kg</t>
  </si>
  <si>
    <t xml:space="preserve">1265</t>
  </si>
  <si>
    <t xml:space="preserve">MASTIC SIKA 543 Blanc 5 kg</t>
  </si>
  <si>
    <t xml:space="preserve">1264</t>
  </si>
  <si>
    <t xml:space="preserve">MASTIC SIKA 543 BEIGE 5 kg</t>
  </si>
  <si>
    <t xml:space="preserve">1263</t>
  </si>
  <si>
    <t xml:space="preserve">Fibré SIKA FIBRE</t>
  </si>
  <si>
    <t xml:space="preserve">1191</t>
  </si>
  <si>
    <t xml:space="preserve">Aucun prix public : Rifaa (rifaa.ma) le référence sur devis (SikaFiber Polypropylene 12-32)</t>
  </si>
  <si>
    <t xml:space="preserve">Époxy Grout 5 kg</t>
  </si>
  <si>
    <t xml:space="preserve">2407</t>
  </si>
  <si>
    <t xml:space="preserve">Aucun prix public : Rifaa (rifaa.ma) le référence sur devis (SikaCeram EpoxyGrout)</t>
  </si>
  <si>
    <t xml:space="preserve">Prix publics TTC en MAD relevés le 10/10/2026 sur bricoma.ma, mrbricolage.ma, bricop.ma et outillageaouami.com.</t>
  </si>
  <si>
    <t xml:space="preserve">Prix retenu = prix qui revient le plus souvent entre les sites ; sinon la médiane ; un seul site = son prix.</t>
  </si>
  <si>
    <t xml:space="preserve">Écart positif = votre prix actuel est au-dessus du prix retenu. Jumia non consulté (vérification anti-robot).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</si>
</sst>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;[RED]\-#,##0.00"/>
    <numFmt numFmtId="167" formatCode="0.0%;[RED]\-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ricop.ma/sika-mortier-de-nivellement-sika-maroc/" TargetMode="External"/><Relationship Id="rId2" Type="http://schemas.openxmlformats.org/officeDocument/2006/relationships/hyperlink" Target="https://www.bricoma.ma/sikagrout-212-m-sac-de-25kg.html" TargetMode="External"/><Relationship Id="rId3" Type="http://schemas.openxmlformats.org/officeDocument/2006/relationships/hyperlink" Target="https://mrbricolage.ma/produit/sikagrout-212-scellement-25kg/" TargetMode="External"/><Relationship Id="rId4" Type="http://schemas.openxmlformats.org/officeDocument/2006/relationships/hyperlink" Target="https://www.bricop.ma/sika-sikagrout-212-m-sac-de-25-kg-maroc/" TargetMode="External"/><Relationship Id="rId5" Type="http://schemas.openxmlformats.org/officeDocument/2006/relationships/hyperlink" Target="https://www.bricoma.ma/conservado-impermeabilisation-incolore-pour-la-protection-des-facades-7.html" TargetMode="External"/><Relationship Id="rId6" Type="http://schemas.openxmlformats.org/officeDocument/2006/relationships/hyperlink" Target="https://www.bricop.ma/sika-monotop-411-rm-s25kg-maroc/" TargetMode="External"/><Relationship Id="rId7" Type="http://schemas.openxmlformats.org/officeDocument/2006/relationships/hyperlink" Target="https://www.bricoma.ma/sikaflex-pro-3-concrete-grey-c300ml.html" TargetMode="External"/><Relationship Id="rId8" Type="http://schemas.openxmlformats.org/officeDocument/2006/relationships/hyperlink" Target="https://www.bricop.ma/sika-sikaflex-pro-3-beton-gris-c300-ml-maroc/" TargetMode="External"/><Relationship Id="rId9" Type="http://schemas.openxmlformats.org/officeDocument/2006/relationships/hyperlink" Target="https://www.bricoma.ma/sikacrete-ucs-m-kit-3kg-1.html" TargetMode="External"/><Relationship Id="rId10" Type="http://schemas.openxmlformats.org/officeDocument/2006/relationships/hyperlink" Target="https://www.bricop.ma/sika-sika-decoffrage-protection-des-coffrages-bois-1-20-bidon-5l-maroc/" TargetMode="External"/><Relationship Id="rId11" Type="http://schemas.openxmlformats.org/officeDocument/2006/relationships/hyperlink" Target="https://www.bricoma.ma/conservado-impermeabilisation-incolore-pour-la-protection-des-facades.html" TargetMode="External"/><Relationship Id="rId12" Type="http://schemas.openxmlformats.org/officeDocument/2006/relationships/hyperlink" Target="https://www.bricop.ma/sika-sikafill-blanc-toit-20kg-maroc/" TargetMode="External"/><Relationship Id="rId13" Type="http://schemas.openxmlformats.org/officeDocument/2006/relationships/hyperlink" Target="https://www.bricop.ma/sika-sika-mortier-rapide-seau-de-05kg-maroc/" TargetMode="External"/><Relationship Id="rId14" Type="http://schemas.openxmlformats.org/officeDocument/2006/relationships/hyperlink" Target="https://mrbricolage.ma/produit/sika-boom-p-foam-750mi/" TargetMode="External"/><Relationship Id="rId15" Type="http://schemas.openxmlformats.org/officeDocument/2006/relationships/hyperlink" Target="https://www.bricop.ma/sika-sika-boom-mousse-polyurethanne-750ml-maroc/" TargetMode="External"/><Relationship Id="rId16" Type="http://schemas.openxmlformats.org/officeDocument/2006/relationships/hyperlink" Target="https://mrbricolage.ma/produit/sikaceram-80-i-blanc-sac-25-kg/" TargetMode="External"/><Relationship Id="rId17" Type="http://schemas.openxmlformats.org/officeDocument/2006/relationships/hyperlink" Target="https://mrbricolage.ma/produit/sikaceram-80-i-gris-sac-25-kg/" TargetMode="External"/><Relationship Id="rId18" Type="http://schemas.openxmlformats.org/officeDocument/2006/relationships/hyperlink" Target="https://www.bricoma.ma/conservado-impermeabilisation-incolore-pour-la-protection-des-facades-10.html" TargetMode="External"/><Relationship Id="rId19" Type="http://schemas.openxmlformats.org/officeDocument/2006/relationships/hyperlink" Target="https://outillageaouami.com/product/sikalite-poudre-sac-1kg-sika/" TargetMode="External"/><Relationship Id="rId20" Type="http://schemas.openxmlformats.org/officeDocument/2006/relationships/hyperlink" Target="https://mrbricolage.ma/produit/conservado-5-kg/" TargetMode="External"/><Relationship Id="rId21" Type="http://schemas.openxmlformats.org/officeDocument/2006/relationships/hyperlink" Target="https://www.bricoma.ma/kit-sikatop-121.html" TargetMode="External"/><Relationship Id="rId22" Type="http://schemas.openxmlformats.org/officeDocument/2006/relationships/hyperlink" Target="https://mrbricolage.ma/produit/kit-sikatop-121-de-26-75kg-en-gris/" TargetMode="External"/><Relationship Id="rId23" Type="http://schemas.openxmlformats.org/officeDocument/2006/relationships/hyperlink" Target="https://www.bricop.ma/sika-kit-sikatop-121-maroc/" TargetMode="External"/><Relationship Id="rId24" Type="http://schemas.openxmlformats.org/officeDocument/2006/relationships/hyperlink" Target="https://outillageaouami.com/product/sikatop-121-surfacage-m-gris-26-75kg/" TargetMode="External"/><Relationship Id="rId25" Type="http://schemas.openxmlformats.org/officeDocument/2006/relationships/hyperlink" Target="https://www.bricoma.ma/kit-sikatop-122.html" TargetMode="External"/><Relationship Id="rId26" Type="http://schemas.openxmlformats.org/officeDocument/2006/relationships/hyperlink" Target="https://mrbricolage.ma/produit/kit-sika-top-122-preparation-m-35kg/" TargetMode="External"/><Relationship Id="rId27" Type="http://schemas.openxmlformats.org/officeDocument/2006/relationships/hyperlink" Target="https://www.bricop.ma/sika-kit-sikatop-122-reparation-m-maroc/" TargetMode="External"/><Relationship Id="rId28" Type="http://schemas.openxmlformats.org/officeDocument/2006/relationships/hyperlink" Target="https://www.bricoma.ma/sikagrout-212-m-sac-de-25kg-3.html" TargetMode="External"/><Relationship Id="rId29" Type="http://schemas.openxmlformats.org/officeDocument/2006/relationships/hyperlink" Target="https://www.bricop.ma/sika-sikalatex-m-flacon-de-05l-maroc/" TargetMode="External"/><Relationship Id="rId30" Type="http://schemas.openxmlformats.org/officeDocument/2006/relationships/hyperlink" Target="https://www.bricoma.ma/sikagrout-212-m-sac-de-25kg-7.html" TargetMode="External"/><Relationship Id="rId31" Type="http://schemas.openxmlformats.org/officeDocument/2006/relationships/hyperlink" Target="https://mrbricolage.ma/produit/sikalatex-j2l/" TargetMode="External"/><Relationship Id="rId32" Type="http://schemas.openxmlformats.org/officeDocument/2006/relationships/hyperlink" Target="https://www.bricop.ma/sika-flacon-sikalatex-m-2l-maroc/" TargetMode="External"/><Relationship Id="rId33" Type="http://schemas.openxmlformats.org/officeDocument/2006/relationships/hyperlink" Target="https://outillageaouami.com/product/sikalatex-m-5l-2l/" TargetMode="External"/><Relationship Id="rId34" Type="http://schemas.openxmlformats.org/officeDocument/2006/relationships/hyperlink" Target="https://www.bricoma.ma/sikatop-armatec-108-m-kit-de-5kg-3.html" TargetMode="External"/><Relationship Id="rId35" Type="http://schemas.openxmlformats.org/officeDocument/2006/relationships/hyperlink" Target="https://mrbricolage.ma/produit/sikadur-31-colle-m-k124kg/" TargetMode="External"/><Relationship Id="rId36" Type="http://schemas.openxmlformats.org/officeDocument/2006/relationships/hyperlink" Target="https://www.bricop.ma/sika-kit-sikadur-31-colle-m-1-24kg-maroc/" TargetMode="External"/><Relationship Id="rId37" Type="http://schemas.openxmlformats.org/officeDocument/2006/relationships/hyperlink" Target="https://www.bricoma.ma/sikaflex-pro11-fc-gris-cartouche-de-310ml.html" TargetMode="External"/><Relationship Id="rId38" Type="http://schemas.openxmlformats.org/officeDocument/2006/relationships/hyperlink" Target="https://mrbricolage.ma/produit/sikaflex-pro-11-fc-gris-c300ml/" TargetMode="External"/><Relationship Id="rId39" Type="http://schemas.openxmlformats.org/officeDocument/2006/relationships/hyperlink" Target="https://www.bricop.ma/sika-sikaflex-pro11-fc-gris-310ml-maroc/" TargetMode="External"/><Relationship Id="rId40" Type="http://schemas.openxmlformats.org/officeDocument/2006/relationships/hyperlink" Target="https://www.bricoma.ma/sikaflex-pro11-fc-blanc-cartouche-de-310ml.html" TargetMode="External"/><Relationship Id="rId41" Type="http://schemas.openxmlformats.org/officeDocument/2006/relationships/hyperlink" Target="https://www.bricop.ma/sika-sikaflex-pro11-fc-blanc-310ml-maroc/" TargetMode="External"/><Relationship Id="rId42" Type="http://schemas.openxmlformats.org/officeDocument/2006/relationships/hyperlink" Target="https://www.bricoma.ma/sikaflex-pro11-fc-gris-cartouche-de-310ml.html" TargetMode="External"/><Relationship Id="rId43" Type="http://schemas.openxmlformats.org/officeDocument/2006/relationships/hyperlink" Target="https://mrbricolage.ma/produit/sikaflex-pro-11-fc-gris-c300ml/" TargetMode="External"/><Relationship Id="rId44" Type="http://schemas.openxmlformats.org/officeDocument/2006/relationships/hyperlink" Target="https://www.bricop.ma/sika-sikaflex-pro11-fc-gris-310ml-maroc/" TargetMode="External"/><Relationship Id="rId45" Type="http://schemas.openxmlformats.org/officeDocument/2006/relationships/hyperlink" Target="https://www.bricoma.ma/conservado-impermeabilisation-incolore-pour-la-protection-des-facades-4.html" TargetMode="External"/><Relationship Id="rId46" Type="http://schemas.openxmlformats.org/officeDocument/2006/relationships/hyperlink" Target="https://www.bricop.ma/sika-plastifiant-hydrofuge-pour-beton-sika-poudre-sachet-maroc/" TargetMode="External"/><Relationship Id="rId47" Type="http://schemas.openxmlformats.org/officeDocument/2006/relationships/hyperlink" Target="https://outillageaouami.com/product/hydrofuge-poudre-500g-sika/" TargetMode="External"/><Relationship Id="rId48" Type="http://schemas.openxmlformats.org/officeDocument/2006/relationships/hyperlink" Target="https://www.bricoma.ma/sikaflex-112-crystal-clear-1.html" TargetMode="External"/><Relationship Id="rId49" Type="http://schemas.openxmlformats.org/officeDocument/2006/relationships/hyperlink" Target="https://mrbricolage.ma/produit/sika-anchorfix-2-300-ml/" TargetMode="External"/><Relationship Id="rId50" Type="http://schemas.openxmlformats.org/officeDocument/2006/relationships/hyperlink" Target="https://www.bricop.ma/sika-sika-ancre-fix-2-scellant-resine-cartouche-300ml-maroc/" TargetMode="External"/><Relationship Id="rId51" Type="http://schemas.openxmlformats.org/officeDocument/2006/relationships/hyperlink" Target="https://outillageaouami.com/product/sika-anchorfix/" TargetMode="External"/><Relationship Id="rId5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3"/>
    <col collapsed="false" customWidth="true" hidden="false" outlineLevel="0" max="17" min="17" style="0" width="9"/>
    <col collapsed="false" customWidth="true" hidden="false" outlineLevel="0" max="18" min="18" style="0" width="6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n">
        <v>2</v>
      </c>
      <c r="D2" s="3" t="n">
        <v>280</v>
      </c>
      <c r="E2" s="2"/>
      <c r="F2" s="2"/>
      <c r="G2" s="2"/>
      <c r="H2" s="2"/>
      <c r="I2" s="3" t="n">
        <v>209</v>
      </c>
      <c r="J2" s="4" t="s">
        <v>20</v>
      </c>
      <c r="K2" s="2"/>
      <c r="L2" s="2"/>
      <c r="M2" s="2" t="n">
        <f aca="false">COUNT(E2,G2,I2,K2)</f>
        <v>1</v>
      </c>
      <c r="N2" s="5" t="n">
        <f aca="false">IF(M2=0,"Non trouvé",IFERROR(MODE(E2,G2,I2,K2),MEDIAN(E2,G2,I2,K2)))</f>
        <v>209</v>
      </c>
      <c r="O2" s="2" t="str">
        <f aca="false">IF(M2=0,"Non trouvé",IF(M2=1,"Source unique",IF(ISNUMBER(MODE(E2,G2,I2,K2)),"Prix le plus fréquent","Aucun prix répété : médiane")))</f>
        <v>Source unique</v>
      </c>
      <c r="P2" s="6" t="n">
        <f aca="false">IF(AND(ISNUMBER(N2),ISNUMBER(D2)),D2-N2,"")</f>
        <v>71</v>
      </c>
      <c r="Q2" s="7" t="n">
        <f aca="false">IF(AND(ISNUMBER(N2),ISNUMBER(D2)),D2/N2-1,"")</f>
        <v>0.339712918660287</v>
      </c>
      <c r="R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n">
        <v>38</v>
      </c>
      <c r="D3" s="3" t="n">
        <v>250</v>
      </c>
      <c r="E3" s="3" t="n">
        <v>185</v>
      </c>
      <c r="F3" s="4" t="s">
        <v>20</v>
      </c>
      <c r="G3" s="3" t="n">
        <v>185</v>
      </c>
      <c r="H3" s="4" t="s">
        <v>20</v>
      </c>
      <c r="I3" s="3" t="n">
        <v>195</v>
      </c>
      <c r="J3" s="4" t="s">
        <v>20</v>
      </c>
      <c r="K3" s="2"/>
      <c r="L3" s="2"/>
      <c r="M3" s="2" t="n">
        <f aca="false">COUNT(E3,G3,I3,K3)</f>
        <v>3</v>
      </c>
      <c r="N3" s="5" t="n">
        <f aca="false">IF(M3=0,"Non trouvé",IFERROR(MODE(E3,G3,I3,K3),MEDIAN(E3,G3,I3,K3)))</f>
        <v>185</v>
      </c>
      <c r="O3" s="2" t="str">
        <f aca="false">IF(M3=0,"Non trouvé",IF(M3=1,"Source unique",IF(ISNUMBER(MODE(E3,G3,I3,K3)),"Prix le plus fréquent","Aucun prix répété : médiane")))</f>
        <v>Prix le plus fréquent</v>
      </c>
      <c r="P3" s="6" t="n">
        <f aca="false">IF(AND(ISNUMBER(N3),ISNUMBER(D3)),D3-N3,"")</f>
        <v>65</v>
      </c>
      <c r="Q3" s="7" t="n">
        <f aca="false">IF(AND(ISNUMBER(N3),ISNUMBER(D3)),D3/N3-1,"")</f>
        <v>0.351351351351351</v>
      </c>
      <c r="R3" s="2"/>
    </row>
    <row r="4" customFormat="false" ht="15" hidden="false" customHeight="false" outlineLevel="0" collapsed="false">
      <c r="A4" s="2" t="s">
        <v>24</v>
      </c>
      <c r="B4" s="2" t="s">
        <v>25</v>
      </c>
      <c r="C4" s="2" t="n">
        <v>2</v>
      </c>
      <c r="D4" s="3" t="n">
        <v>515</v>
      </c>
      <c r="E4" s="3" t="n">
        <v>515</v>
      </c>
      <c r="F4" s="4" t="s">
        <v>20</v>
      </c>
      <c r="G4" s="2"/>
      <c r="H4" s="2"/>
      <c r="I4" s="3" t="n">
        <v>515</v>
      </c>
      <c r="J4" s="4" t="s">
        <v>20</v>
      </c>
      <c r="K4" s="2"/>
      <c r="L4" s="2"/>
      <c r="M4" s="2" t="n">
        <f aca="false">COUNT(E4,G4,I4,K4)</f>
        <v>2</v>
      </c>
      <c r="N4" s="5" t="n">
        <f aca="false">IF(M4=0,"Non trouvé",IFERROR(MODE(E4,G4,I4,K4),MEDIAN(E4,G4,I4,K4)))</f>
        <v>515</v>
      </c>
      <c r="O4" s="2" t="str">
        <f aca="false">IF(M4=0,"Non trouvé",IF(M4=1,"Source unique",IF(ISNUMBER(MODE(E4,G4,I4,K4)),"Prix le plus fréquent","Aucun prix répété : médiane")))</f>
        <v>Prix le plus fréquent</v>
      </c>
      <c r="P4" s="6" t="n">
        <f aca="false">IF(AND(ISNUMBER(N4),ISNUMBER(D4)),D4-N4,"")</f>
        <v>0</v>
      </c>
      <c r="Q4" s="7" t="n">
        <f aca="false">IF(AND(ISNUMBER(N4),ISNUMBER(D4)),D4/N4-1,"")</f>
        <v>0</v>
      </c>
      <c r="R4" s="2"/>
    </row>
    <row r="5" customFormat="false" ht="15" hidden="false" customHeight="false" outlineLevel="0" collapsed="false">
      <c r="A5" s="2" t="s">
        <v>26</v>
      </c>
      <c r="B5" s="2" t="s">
        <v>27</v>
      </c>
      <c r="C5" s="2" t="n">
        <v>0</v>
      </c>
      <c r="D5" s="3" t="n">
        <v>120</v>
      </c>
      <c r="E5" s="3" t="n">
        <v>105</v>
      </c>
      <c r="F5" s="4" t="s">
        <v>20</v>
      </c>
      <c r="G5" s="2"/>
      <c r="H5" s="2"/>
      <c r="I5" s="3" t="n">
        <v>99</v>
      </c>
      <c r="J5" s="4" t="s">
        <v>20</v>
      </c>
      <c r="K5" s="2"/>
      <c r="L5" s="2"/>
      <c r="M5" s="2" t="n">
        <f aca="false">COUNT(E5,G5,I5,K5)</f>
        <v>2</v>
      </c>
      <c r="N5" s="5" t="n">
        <f aca="false">IF(M5=0,"Non trouvé",IFERROR(MODE(E5,G5,I5,K5),MEDIAN(E5,G5,I5,K5)))</f>
        <v>102</v>
      </c>
      <c r="O5" s="2" t="str">
        <f aca="false">IF(M5=0,"Non trouvé",IF(M5=1,"Source unique",IF(ISNUMBER(MODE(E5,G5,I5,K5)),"Prix le plus fréquent","Aucun prix répété : médiane")))</f>
        <v>Aucun prix répété : médiane</v>
      </c>
      <c r="P5" s="6" t="n">
        <f aca="false">IF(AND(ISNUMBER(N5),ISNUMBER(D5)),D5-N5,"")</f>
        <v>18</v>
      </c>
      <c r="Q5" s="7" t="n">
        <f aca="false">IF(AND(ISNUMBER(N5),ISNUMBER(D5)),D5/N5-1,"")</f>
        <v>0.176470588235294</v>
      </c>
      <c r="R5" s="2"/>
    </row>
    <row r="6" customFormat="false" ht="15" hidden="false" customHeight="false" outlineLevel="0" collapsed="false">
      <c r="A6" s="2" t="s">
        <v>28</v>
      </c>
      <c r="B6" s="2" t="s">
        <v>29</v>
      </c>
      <c r="C6" s="2" t="n">
        <v>0</v>
      </c>
      <c r="D6" s="3" t="n">
        <v>500</v>
      </c>
      <c r="E6" s="3" t="n">
        <v>579</v>
      </c>
      <c r="F6" s="4" t="s">
        <v>20</v>
      </c>
      <c r="G6" s="2"/>
      <c r="H6" s="2"/>
      <c r="I6" s="3" t="n">
        <v>599</v>
      </c>
      <c r="J6" s="4" t="s">
        <v>20</v>
      </c>
      <c r="K6" s="2"/>
      <c r="L6" s="2"/>
      <c r="M6" s="2" t="n">
        <f aca="false">COUNT(E6,G6,I6,K6)</f>
        <v>2</v>
      </c>
      <c r="N6" s="5" t="n">
        <f aca="false">IF(M6=0,"Non trouvé",IFERROR(MODE(E6,G6,I6,K6),MEDIAN(E6,G6,I6,K6)))</f>
        <v>589</v>
      </c>
      <c r="O6" s="2" t="str">
        <f aca="false">IF(M6=0,"Non trouvé",IF(M6=1,"Source unique",IF(ISNUMBER(MODE(E6,G6,I6,K6)),"Prix le plus fréquent","Aucun prix répété : médiane")))</f>
        <v>Aucun prix répété : médiane</v>
      </c>
      <c r="P6" s="6" t="n">
        <f aca="false">IF(AND(ISNUMBER(N6),ISNUMBER(D6)),D6-N6,"")</f>
        <v>-89</v>
      </c>
      <c r="Q6" s="7" t="n">
        <f aca="false">IF(AND(ISNUMBER(N6),ISNUMBER(D6)),D6/N6-1,"")</f>
        <v>-0.151103565365025</v>
      </c>
      <c r="R6" s="2"/>
    </row>
    <row r="7" customFormat="false" ht="15" hidden="false" customHeight="false" outlineLevel="0" collapsed="false">
      <c r="A7" s="2" t="s">
        <v>30</v>
      </c>
      <c r="B7" s="2" t="s">
        <v>31</v>
      </c>
      <c r="C7" s="2" t="n">
        <v>1</v>
      </c>
      <c r="D7" s="3" t="n">
        <v>160</v>
      </c>
      <c r="E7" s="2"/>
      <c r="F7" s="2"/>
      <c r="G7" s="2"/>
      <c r="H7" s="2"/>
      <c r="I7" s="2"/>
      <c r="J7" s="2"/>
      <c r="K7" s="2"/>
      <c r="L7" s="2"/>
      <c r="M7" s="2" t="n">
        <f aca="false">COUNT(E7,G7,I7,K7)</f>
        <v>0</v>
      </c>
      <c r="N7" s="5" t="str">
        <f aca="false">IF(M7=0,"Non trouvé",IFERROR(MODE(E7,G7,I7,K7),MEDIAN(E7,G7,I7,K7)))</f>
        <v>Non trouvé</v>
      </c>
      <c r="O7" s="2" t="str">
        <f aca="false">IF(M7=0,"Non trouvé",IF(M7=1,"Source unique",IF(ISNUMBER(MODE(E7,G7,I7,K7)),"Prix le plus fréquent","Aucun prix répété : médiane")))</f>
        <v>Non trouvé</v>
      </c>
      <c r="P7" s="6" t="str">
        <f aca="false">IF(AND(ISNUMBER(N7),ISNUMBER(D7)),D7-N7,"")</f>
        <v/>
      </c>
      <c r="Q7" s="7" t="str">
        <f aca="false">IF(AND(ISNUMBER(N7),ISNUMBER(D7)),D7/N7-1,"")</f>
        <v/>
      </c>
      <c r="R7" s="2" t="s">
        <v>32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n">
        <v>64</v>
      </c>
      <c r="D8" s="3" t="n">
        <v>25</v>
      </c>
      <c r="E8" s="2"/>
      <c r="F8" s="2"/>
      <c r="G8" s="2"/>
      <c r="H8" s="2"/>
      <c r="I8" s="2"/>
      <c r="J8" s="2"/>
      <c r="K8" s="2"/>
      <c r="L8" s="2"/>
      <c r="M8" s="2" t="n">
        <f aca="false">COUNT(E8,G8,I8,K8)</f>
        <v>0</v>
      </c>
      <c r="N8" s="5" t="str">
        <f aca="false">IF(M8=0,"Non trouvé",IFERROR(MODE(E8,G8,I8,K8),MEDIAN(E8,G8,I8,K8)))</f>
        <v>Non trouvé</v>
      </c>
      <c r="O8" s="2" t="str">
        <f aca="false">IF(M8=0,"Non trouvé",IF(M8=1,"Source unique",IF(ISNUMBER(MODE(E8,G8,I8,K8)),"Prix le plus fréquent","Aucun prix répété : médiane")))</f>
        <v>Non trouvé</v>
      </c>
      <c r="P8" s="6" t="str">
        <f aca="false">IF(AND(ISNUMBER(N8),ISNUMBER(D8)),D8-N8,"")</f>
        <v/>
      </c>
      <c r="Q8" s="7" t="str">
        <f aca="false">IF(AND(ISNUMBER(N8),ISNUMBER(D8)),D8/N8-1,"")</f>
        <v/>
      </c>
      <c r="R8" s="2" t="s">
        <v>35</v>
      </c>
    </row>
    <row r="9" customFormat="false" ht="15" hidden="false" customHeight="false" outlineLevel="0" collapsed="false">
      <c r="A9" s="2" t="s">
        <v>36</v>
      </c>
      <c r="B9" s="2" t="s">
        <v>37</v>
      </c>
      <c r="C9" s="2" t="n">
        <v>0</v>
      </c>
      <c r="D9" s="3" t="n">
        <v>750</v>
      </c>
      <c r="E9" s="3" t="n">
        <v>749</v>
      </c>
      <c r="F9" s="4" t="s">
        <v>20</v>
      </c>
      <c r="G9" s="2"/>
      <c r="H9" s="2"/>
      <c r="I9" s="2"/>
      <c r="J9" s="2"/>
      <c r="K9" s="2"/>
      <c r="L9" s="2"/>
      <c r="M9" s="2" t="n">
        <f aca="false">COUNT(E9,G9,I9,K9)</f>
        <v>1</v>
      </c>
      <c r="N9" s="5" t="n">
        <f aca="false">IF(M9=0,"Non trouvé",IFERROR(MODE(E9,G9,I9,K9),MEDIAN(E9,G9,I9,K9)))</f>
        <v>749</v>
      </c>
      <c r="O9" s="2" t="str">
        <f aca="false">IF(M9=0,"Non trouvé",IF(M9=1,"Source unique",IF(ISNUMBER(MODE(E9,G9,I9,K9)),"Prix le plus fréquent","Aucun prix répété : médiane")))</f>
        <v>Source unique</v>
      </c>
      <c r="P9" s="6" t="n">
        <f aca="false">IF(AND(ISNUMBER(N9),ISNUMBER(D9)),D9-N9,"")</f>
        <v>1</v>
      </c>
      <c r="Q9" s="7" t="n">
        <f aca="false">IF(AND(ISNUMBER(N9),ISNUMBER(D9)),D9/N9-1,"")</f>
        <v>0.00133511348464621</v>
      </c>
      <c r="R9" s="2" t="s">
        <v>38</v>
      </c>
    </row>
    <row r="10" customFormat="false" ht="15" hidden="false" customHeight="false" outlineLevel="0" collapsed="false">
      <c r="A10" s="2" t="s">
        <v>39</v>
      </c>
      <c r="B10" s="2" t="s">
        <v>40</v>
      </c>
      <c r="C10" s="2" t="n">
        <v>0</v>
      </c>
      <c r="D10" s="3" t="n">
        <v>650</v>
      </c>
      <c r="E10" s="2"/>
      <c r="F10" s="2"/>
      <c r="G10" s="2"/>
      <c r="H10" s="2"/>
      <c r="I10" s="3" t="n">
        <v>795</v>
      </c>
      <c r="J10" s="4" t="s">
        <v>20</v>
      </c>
      <c r="K10" s="2"/>
      <c r="L10" s="2"/>
      <c r="M10" s="2" t="n">
        <f aca="false">COUNT(E10,G10,I10,K10)</f>
        <v>1</v>
      </c>
      <c r="N10" s="5" t="n">
        <f aca="false">IF(M10=0,"Non trouvé",IFERROR(MODE(E10,G10,I10,K10),MEDIAN(E10,G10,I10,K10)))</f>
        <v>795</v>
      </c>
      <c r="O10" s="2" t="str">
        <f aca="false">IF(M10=0,"Non trouvé",IF(M10=1,"Source unique",IF(ISNUMBER(MODE(E10,G10,I10,K10)),"Prix le plus fréquent","Aucun prix répété : médiane")))</f>
        <v>Source unique</v>
      </c>
      <c r="P10" s="6" t="n">
        <f aca="false">IF(AND(ISNUMBER(N10),ISNUMBER(D10)),D10-N10,"")</f>
        <v>-145</v>
      </c>
      <c r="Q10" s="7" t="n">
        <f aca="false">IF(AND(ISNUMBER(N10),ISNUMBER(D10)),D10/N10-1,"")</f>
        <v>-0.182389937106918</v>
      </c>
      <c r="R10" s="2" t="s">
        <v>41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n">
        <v>16</v>
      </c>
      <c r="D11" s="3" t="n">
        <v>350</v>
      </c>
      <c r="E11" s="2"/>
      <c r="F11" s="2"/>
      <c r="G11" s="2"/>
      <c r="H11" s="2"/>
      <c r="I11" s="3" t="n">
        <v>345</v>
      </c>
      <c r="J11" s="4" t="s">
        <v>20</v>
      </c>
      <c r="K11" s="2"/>
      <c r="L11" s="2"/>
      <c r="M11" s="2" t="n">
        <f aca="false">COUNT(E11,G11,I11,K11)</f>
        <v>1</v>
      </c>
      <c r="N11" s="5" t="n">
        <f aca="false">IF(M11=0,"Non trouvé",IFERROR(MODE(E11,G11,I11,K11),MEDIAN(E11,G11,I11,K11)))</f>
        <v>345</v>
      </c>
      <c r="O11" s="2" t="str">
        <f aca="false">IF(M11=0,"Non trouvé",IF(M11=1,"Source unique",IF(ISNUMBER(MODE(E11,G11,I11,K11)),"Prix le plus fréquent","Aucun prix répété : médiane")))</f>
        <v>Source unique</v>
      </c>
      <c r="P11" s="6" t="n">
        <f aca="false">IF(AND(ISNUMBER(N11),ISNUMBER(D11)),D11-N11,"")</f>
        <v>5</v>
      </c>
      <c r="Q11" s="7" t="n">
        <f aca="false">IF(AND(ISNUMBER(N11),ISNUMBER(D11)),D11/N11-1,"")</f>
        <v>0.0144927536231885</v>
      </c>
      <c r="R11" s="2" t="s">
        <v>44</v>
      </c>
    </row>
    <row r="12" customFormat="false" ht="15" hidden="false" customHeight="false" outlineLevel="0" collapsed="false">
      <c r="A12" s="2" t="s">
        <v>45</v>
      </c>
      <c r="B12" s="2" t="s">
        <v>46</v>
      </c>
      <c r="C12" s="2" t="n">
        <v>42</v>
      </c>
      <c r="D12" s="3" t="n">
        <v>80</v>
      </c>
      <c r="E12" s="2"/>
      <c r="F12" s="2"/>
      <c r="G12" s="3" t="n">
        <v>60</v>
      </c>
      <c r="H12" s="4" t="s">
        <v>20</v>
      </c>
      <c r="I12" s="3" t="n">
        <v>79</v>
      </c>
      <c r="J12" s="4" t="s">
        <v>20</v>
      </c>
      <c r="K12" s="2"/>
      <c r="L12" s="2"/>
      <c r="M12" s="2" t="n">
        <f aca="false">COUNT(E12,G12,I12,K12)</f>
        <v>2</v>
      </c>
      <c r="N12" s="5" t="n">
        <f aca="false">IF(M12=0,"Non trouvé",IFERROR(MODE(E12,G12,I12,K12),MEDIAN(E12,G12,I12,K12)))</f>
        <v>69.5</v>
      </c>
      <c r="O12" s="2" t="str">
        <f aca="false">IF(M12=0,"Non trouvé",IF(M12=1,"Source unique",IF(ISNUMBER(MODE(E12,G12,I12,K12)),"Prix le plus fréquent","Aucun prix répété : médiane")))</f>
        <v>Aucun prix répété : médiane</v>
      </c>
      <c r="P12" s="6" t="n">
        <f aca="false">IF(AND(ISNUMBER(N12),ISNUMBER(D12)),D12-N12,"")</f>
        <v>10.5</v>
      </c>
      <c r="Q12" s="7" t="n">
        <f aca="false">IF(AND(ISNUMBER(N12),ISNUMBER(D12)),D12/N12-1,"")</f>
        <v>0.151079136690647</v>
      </c>
      <c r="R12" s="2" t="s">
        <v>47</v>
      </c>
    </row>
    <row r="13" customFormat="false" ht="15" hidden="false" customHeight="false" outlineLevel="0" collapsed="false">
      <c r="A13" s="2" t="s">
        <v>48</v>
      </c>
      <c r="B13" s="2" t="s">
        <v>49</v>
      </c>
      <c r="C13" s="2" t="n">
        <v>3851</v>
      </c>
      <c r="D13" s="3" t="n">
        <v>60</v>
      </c>
      <c r="E13" s="2"/>
      <c r="F13" s="2"/>
      <c r="G13" s="3" t="n">
        <v>49.9</v>
      </c>
      <c r="H13" s="4" t="s">
        <v>20</v>
      </c>
      <c r="I13" s="2"/>
      <c r="J13" s="2"/>
      <c r="K13" s="2"/>
      <c r="L13" s="2"/>
      <c r="M13" s="2" t="n">
        <f aca="false">COUNT(E13,G13,I13,K13)</f>
        <v>1</v>
      </c>
      <c r="N13" s="5" t="n">
        <f aca="false">IF(M13=0,"Non trouvé",IFERROR(MODE(E13,G13,I13,K13),MEDIAN(E13,G13,I13,K13)))</f>
        <v>49.9</v>
      </c>
      <c r="O13" s="2" t="str">
        <f aca="false">IF(M13=0,"Non trouvé",IF(M13=1,"Source unique",IF(ISNUMBER(MODE(E13,G13,I13,K13)),"Prix le plus fréquent","Aucun prix répété : médiane")))</f>
        <v>Source unique</v>
      </c>
      <c r="P13" s="6" t="n">
        <f aca="false">IF(AND(ISNUMBER(N13),ISNUMBER(D13)),D13-N13,"")</f>
        <v>10.1</v>
      </c>
      <c r="Q13" s="7" t="n">
        <f aca="false">IF(AND(ISNUMBER(N13),ISNUMBER(D13)),D13/N13-1,"")</f>
        <v>0.202404809619239</v>
      </c>
      <c r="R13" s="2"/>
    </row>
    <row r="14" customFormat="false" ht="15" hidden="false" customHeight="false" outlineLevel="0" collapsed="false">
      <c r="A14" s="2" t="s">
        <v>50</v>
      </c>
      <c r="B14" s="2" t="s">
        <v>51</v>
      </c>
      <c r="C14" s="2" t="n">
        <v>5310</v>
      </c>
      <c r="D14" s="3" t="n">
        <v>38</v>
      </c>
      <c r="E14" s="2"/>
      <c r="F14" s="2"/>
      <c r="G14" s="2"/>
      <c r="H14" s="2"/>
      <c r="I14" s="2"/>
      <c r="J14" s="2"/>
      <c r="K14" s="2"/>
      <c r="L14" s="2"/>
      <c r="M14" s="2" t="n">
        <f aca="false">COUNT(E14,G14,I14,K14)</f>
        <v>0</v>
      </c>
      <c r="N14" s="5" t="str">
        <f aca="false">IF(M14=0,"Non trouvé",IFERROR(MODE(E14,G14,I14,K14),MEDIAN(E14,G14,I14,K14)))</f>
        <v>Non trouvé</v>
      </c>
      <c r="O14" s="2" t="str">
        <f aca="false">IF(M14=0,"Non trouvé",IF(M14=1,"Source unique",IF(ISNUMBER(MODE(E14,G14,I14,K14)),"Prix le plus fréquent","Aucun prix répété : médiane")))</f>
        <v>Non trouvé</v>
      </c>
      <c r="P14" s="6" t="str">
        <f aca="false">IF(AND(ISNUMBER(N14),ISNUMBER(D14)),D14-N14,"")</f>
        <v/>
      </c>
      <c r="Q14" s="7" t="str">
        <f aca="false">IF(AND(ISNUMBER(N14),ISNUMBER(D14)),D14/N14-1,"")</f>
        <v/>
      </c>
      <c r="R14" s="2" t="s">
        <v>35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2" t="n">
        <v>685</v>
      </c>
      <c r="D15" s="3" t="n">
        <v>120</v>
      </c>
      <c r="E15" s="2"/>
      <c r="F15" s="2"/>
      <c r="G15" s="2"/>
      <c r="H15" s="2"/>
      <c r="I15" s="2"/>
      <c r="J15" s="2"/>
      <c r="K15" s="2"/>
      <c r="L15" s="2"/>
      <c r="M15" s="2" t="n">
        <f aca="false">COUNT(E15,G15,I15,K15)</f>
        <v>0</v>
      </c>
      <c r="N15" s="5" t="str">
        <f aca="false">IF(M15=0,"Non trouvé",IFERROR(MODE(E15,G15,I15,K15),MEDIAN(E15,G15,I15,K15)))</f>
        <v>Non trouvé</v>
      </c>
      <c r="O15" s="2" t="str">
        <f aca="false">IF(M15=0,"Non trouvé",IF(M15=1,"Source unique",IF(ISNUMBER(MODE(E15,G15,I15,K15)),"Prix le plus fréquent","Aucun prix répété : médiane")))</f>
        <v>Non trouvé</v>
      </c>
      <c r="P15" s="6" t="str">
        <f aca="false">IF(AND(ISNUMBER(N15),ISNUMBER(D15)),D15-N15,"")</f>
        <v/>
      </c>
      <c r="Q15" s="7" t="str">
        <f aca="false">IF(AND(ISNUMBER(N15),ISNUMBER(D15)),D15/N15-1,"")</f>
        <v/>
      </c>
      <c r="R15" s="2" t="s">
        <v>54</v>
      </c>
    </row>
    <row r="16" customFormat="false" ht="15" hidden="false" customHeight="false" outlineLevel="0" collapsed="false">
      <c r="A16" s="2" t="s">
        <v>55</v>
      </c>
      <c r="B16" s="2" t="s">
        <v>56</v>
      </c>
      <c r="C16" s="2" t="n">
        <v>2</v>
      </c>
      <c r="D16" s="3" t="n">
        <v>55</v>
      </c>
      <c r="E16" s="2"/>
      <c r="F16" s="2"/>
      <c r="G16" s="3" t="n">
        <v>37.9</v>
      </c>
      <c r="H16" s="4" t="s">
        <v>20</v>
      </c>
      <c r="I16" s="2"/>
      <c r="J16" s="2"/>
      <c r="K16" s="2"/>
      <c r="L16" s="2"/>
      <c r="M16" s="2" t="n">
        <f aca="false">COUNT(E16,G16,I16,K16)</f>
        <v>1</v>
      </c>
      <c r="N16" s="5" t="n">
        <f aca="false">IF(M16=0,"Non trouvé",IFERROR(MODE(E16,G16,I16,K16),MEDIAN(E16,G16,I16,K16)))</f>
        <v>37.9</v>
      </c>
      <c r="O16" s="2" t="str">
        <f aca="false">IF(M16=0,"Non trouvé",IF(M16=1,"Source unique",IF(ISNUMBER(MODE(E16,G16,I16,K16)),"Prix le plus fréquent","Aucun prix répété : médiane")))</f>
        <v>Source unique</v>
      </c>
      <c r="P16" s="6" t="n">
        <f aca="false">IF(AND(ISNUMBER(N16),ISNUMBER(D16)),D16-N16,"")</f>
        <v>17.1</v>
      </c>
      <c r="Q16" s="7" t="n">
        <f aca="false">IF(AND(ISNUMBER(N16),ISNUMBER(D16)),D16/N16-1,"")</f>
        <v>0.451187335092348</v>
      </c>
      <c r="R16" s="2"/>
    </row>
    <row r="17" customFormat="false" ht="15" hidden="false" customHeight="false" outlineLevel="0" collapsed="false">
      <c r="A17" s="2" t="s">
        <v>57</v>
      </c>
      <c r="B17" s="2" t="s">
        <v>58</v>
      </c>
      <c r="C17" s="2" t="n">
        <v>3077</v>
      </c>
      <c r="D17" s="3" t="n">
        <v>40</v>
      </c>
      <c r="E17" s="3" t="n">
        <v>29.9</v>
      </c>
      <c r="F17" s="4" t="s">
        <v>20</v>
      </c>
      <c r="G17" s="2"/>
      <c r="H17" s="2"/>
      <c r="I17" s="2"/>
      <c r="J17" s="2"/>
      <c r="K17" s="3" t="n">
        <v>32</v>
      </c>
      <c r="L17" s="4" t="s">
        <v>20</v>
      </c>
      <c r="M17" s="2" t="n">
        <f aca="false">COUNT(E17,G17,I17,K17)</f>
        <v>2</v>
      </c>
      <c r="N17" s="5" t="n">
        <f aca="false">IF(M17=0,"Non trouvé",IFERROR(MODE(E17,G17,I17,K17),MEDIAN(E17,G17,I17,K17)))</f>
        <v>30.95</v>
      </c>
      <c r="O17" s="2" t="str">
        <f aca="false">IF(M17=0,"Non trouvé",IF(M17=1,"Source unique",IF(ISNUMBER(MODE(E17,G17,I17,K17)),"Prix le plus fréquent","Aucun prix répété : médiane")))</f>
        <v>Aucun prix répété : médiane</v>
      </c>
      <c r="P17" s="6" t="n">
        <f aca="false">IF(AND(ISNUMBER(N17),ISNUMBER(D17)),D17-N17,"")</f>
        <v>9.05</v>
      </c>
      <c r="Q17" s="7" t="n">
        <f aca="false">IF(AND(ISNUMBER(N17),ISNUMBER(D17)),D17/N17-1,"")</f>
        <v>0.292407108239095</v>
      </c>
      <c r="R17" s="2" t="s">
        <v>59</v>
      </c>
    </row>
    <row r="18" customFormat="false" ht="15" hidden="false" customHeight="false" outlineLevel="0" collapsed="false">
      <c r="A18" s="2" t="s">
        <v>60</v>
      </c>
      <c r="B18" s="2" t="s">
        <v>61</v>
      </c>
      <c r="C18" s="2" t="n">
        <v>1</v>
      </c>
      <c r="D18" s="3" t="n">
        <v>150</v>
      </c>
      <c r="E18" s="2"/>
      <c r="F18" s="2"/>
      <c r="G18" s="3" t="n">
        <v>155</v>
      </c>
      <c r="H18" s="4" t="s">
        <v>20</v>
      </c>
      <c r="I18" s="2"/>
      <c r="J18" s="2"/>
      <c r="K18" s="2"/>
      <c r="L18" s="2"/>
      <c r="M18" s="2" t="n">
        <f aca="false">COUNT(E18,G18,I18,K18)</f>
        <v>1</v>
      </c>
      <c r="N18" s="5" t="n">
        <f aca="false">IF(M18=0,"Non trouvé",IFERROR(MODE(E18,G18,I18,K18),MEDIAN(E18,G18,I18,K18)))</f>
        <v>155</v>
      </c>
      <c r="O18" s="2" t="str">
        <f aca="false">IF(M18=0,"Non trouvé",IF(M18=1,"Source unique",IF(ISNUMBER(MODE(E18,G18,I18,K18)),"Prix le plus fréquent","Aucun prix répété : médiane")))</f>
        <v>Source unique</v>
      </c>
      <c r="P18" s="6" t="n">
        <f aca="false">IF(AND(ISNUMBER(N18),ISNUMBER(D18)),D18-N18,"")</f>
        <v>-5</v>
      </c>
      <c r="Q18" s="7" t="n">
        <f aca="false">IF(AND(ISNUMBER(N18),ISNUMBER(D18)),D18/N18-1,"")</f>
        <v>-0.032258064516129</v>
      </c>
      <c r="R18" s="2" t="s">
        <v>62</v>
      </c>
    </row>
    <row r="19" customFormat="false" ht="15" hidden="false" customHeight="false" outlineLevel="0" collapsed="false">
      <c r="A19" s="2" t="s">
        <v>63</v>
      </c>
      <c r="B19" s="2" t="s">
        <v>64</v>
      </c>
      <c r="C19" s="2" t="n">
        <v>15</v>
      </c>
      <c r="D19" s="3" t="n">
        <v>680</v>
      </c>
      <c r="E19" s="3" t="n">
        <v>589</v>
      </c>
      <c r="F19" s="4" t="s">
        <v>20</v>
      </c>
      <c r="G19" s="3" t="n">
        <v>589</v>
      </c>
      <c r="H19" s="4" t="s">
        <v>20</v>
      </c>
      <c r="I19" s="3" t="n">
        <v>605</v>
      </c>
      <c r="J19" s="4" t="s">
        <v>20</v>
      </c>
      <c r="K19" s="3" t="n">
        <v>650</v>
      </c>
      <c r="L19" s="4" t="s">
        <v>20</v>
      </c>
      <c r="M19" s="2" t="n">
        <f aca="false">COUNT(E19,G19,I19,K19)</f>
        <v>4</v>
      </c>
      <c r="N19" s="5" t="n">
        <f aca="false">IF(M19=0,"Non trouvé",IFERROR(MODE(E19,G19,I19,K19),MEDIAN(E19,G19,I19,K19)))</f>
        <v>589</v>
      </c>
      <c r="O19" s="2" t="str">
        <f aca="false">IF(M19=0,"Non trouvé",IF(M19=1,"Source unique",IF(ISNUMBER(MODE(E19,G19,I19,K19)),"Prix le plus fréquent","Aucun prix répété : médiane")))</f>
        <v>Prix le plus fréquent</v>
      </c>
      <c r="P19" s="6" t="n">
        <f aca="false">IF(AND(ISNUMBER(N19),ISNUMBER(D19)),D19-N19,"")</f>
        <v>91</v>
      </c>
      <c r="Q19" s="7" t="n">
        <f aca="false">IF(AND(ISNUMBER(N19),ISNUMBER(D19)),D19/N19-1,"")</f>
        <v>0.154499151103565</v>
      </c>
      <c r="R19" s="2"/>
    </row>
    <row r="20" customFormat="false" ht="15" hidden="false" customHeight="false" outlineLevel="0" collapsed="false">
      <c r="A20" s="2" t="s">
        <v>65</v>
      </c>
      <c r="B20" s="2" t="s">
        <v>66</v>
      </c>
      <c r="C20" s="2" t="n">
        <v>28</v>
      </c>
      <c r="D20" s="3" t="n">
        <v>770</v>
      </c>
      <c r="E20" s="3" t="n">
        <v>745</v>
      </c>
      <c r="F20" s="4" t="s">
        <v>20</v>
      </c>
      <c r="G20" s="3" t="n">
        <v>745</v>
      </c>
      <c r="H20" s="4" t="s">
        <v>20</v>
      </c>
      <c r="I20" s="3" t="n">
        <v>745</v>
      </c>
      <c r="J20" s="4" t="s">
        <v>20</v>
      </c>
      <c r="K20" s="2"/>
      <c r="L20" s="2"/>
      <c r="M20" s="2" t="n">
        <f aca="false">COUNT(E20,G20,I20,K20)</f>
        <v>3</v>
      </c>
      <c r="N20" s="5" t="n">
        <f aca="false">IF(M20=0,"Non trouvé",IFERROR(MODE(E20,G20,I20,K20),MEDIAN(E20,G20,I20,K20)))</f>
        <v>745</v>
      </c>
      <c r="O20" s="2" t="str">
        <f aca="false">IF(M20=0,"Non trouvé",IF(M20=1,"Source unique",IF(ISNUMBER(MODE(E20,G20,I20,K20)),"Prix le plus fréquent","Aucun prix répété : médiane")))</f>
        <v>Prix le plus fréquent</v>
      </c>
      <c r="P20" s="6" t="n">
        <f aca="false">IF(AND(ISNUMBER(N20),ISNUMBER(D20)),D20-N20,"")</f>
        <v>25</v>
      </c>
      <c r="Q20" s="7" t="n">
        <f aca="false">IF(AND(ISNUMBER(N20),ISNUMBER(D20)),D20/N20-1,"")</f>
        <v>0.0335570469798658</v>
      </c>
      <c r="R20" s="2"/>
    </row>
    <row r="21" customFormat="false" ht="15" hidden="false" customHeight="false" outlineLevel="0" collapsed="false">
      <c r="A21" s="2" t="s">
        <v>67</v>
      </c>
      <c r="B21" s="2" t="s">
        <v>68</v>
      </c>
      <c r="C21" s="2" t="n">
        <v>667</v>
      </c>
      <c r="D21" s="3" t="n">
        <v>300</v>
      </c>
      <c r="E21" s="3" t="n">
        <v>289</v>
      </c>
      <c r="F21" s="4" t="s">
        <v>20</v>
      </c>
      <c r="G21" s="2"/>
      <c r="H21" s="2"/>
      <c r="I21" s="3" t="n">
        <v>309</v>
      </c>
      <c r="J21" s="4" t="s">
        <v>20</v>
      </c>
      <c r="K21" s="2"/>
      <c r="L21" s="2"/>
      <c r="M21" s="2" t="n">
        <f aca="false">COUNT(E21,G21,I21,K21)</f>
        <v>2</v>
      </c>
      <c r="N21" s="5" t="n">
        <f aca="false">IF(M21=0,"Non trouvé",IFERROR(MODE(E21,G21,I21,K21),MEDIAN(E21,G21,I21,K21)))</f>
        <v>299</v>
      </c>
      <c r="O21" s="2" t="str">
        <f aca="false">IF(M21=0,"Non trouvé",IF(M21=1,"Source unique",IF(ISNUMBER(MODE(E21,G21,I21,K21)),"Prix le plus fréquent","Aucun prix répété : médiane")))</f>
        <v>Aucun prix répété : médiane</v>
      </c>
      <c r="P21" s="6" t="n">
        <f aca="false">IF(AND(ISNUMBER(N21),ISNUMBER(D21)),D21-N21,"")</f>
        <v>1</v>
      </c>
      <c r="Q21" s="7" t="n">
        <f aca="false">IF(AND(ISNUMBER(N21),ISNUMBER(D21)),D21/N21-1,"")</f>
        <v>0.00334448160535117</v>
      </c>
      <c r="R21" s="2"/>
    </row>
    <row r="22" customFormat="false" ht="15" hidden="false" customHeight="false" outlineLevel="0" collapsed="false">
      <c r="A22" s="2" t="s">
        <v>69</v>
      </c>
      <c r="B22" s="2" t="s">
        <v>70</v>
      </c>
      <c r="C22" s="2" t="n">
        <v>223</v>
      </c>
      <c r="D22" s="3" t="n">
        <v>150</v>
      </c>
      <c r="E22" s="3" t="n">
        <v>125</v>
      </c>
      <c r="F22" s="4" t="s">
        <v>20</v>
      </c>
      <c r="G22" s="3" t="n">
        <v>125</v>
      </c>
      <c r="H22" s="4" t="s">
        <v>20</v>
      </c>
      <c r="I22" s="3" t="n">
        <v>135</v>
      </c>
      <c r="J22" s="4" t="s">
        <v>20</v>
      </c>
      <c r="K22" s="3" t="n">
        <v>145</v>
      </c>
      <c r="L22" s="4" t="s">
        <v>20</v>
      </c>
      <c r="M22" s="2" t="n">
        <f aca="false">COUNT(E22,G22,I22,K22)</f>
        <v>4</v>
      </c>
      <c r="N22" s="5" t="n">
        <f aca="false">IF(M22=0,"Non trouvé",IFERROR(MODE(E22,G22,I22,K22),MEDIAN(E22,G22,I22,K22)))</f>
        <v>125</v>
      </c>
      <c r="O22" s="2" t="str">
        <f aca="false">IF(M22=0,"Non trouvé",IF(M22=1,"Source unique",IF(ISNUMBER(MODE(E22,G22,I22,K22)),"Prix le plus fréquent","Aucun prix répété : médiane")))</f>
        <v>Prix le plus fréquent</v>
      </c>
      <c r="P22" s="6" t="n">
        <f aca="false">IF(AND(ISNUMBER(N22),ISNUMBER(D22)),D22-N22,"")</f>
        <v>25</v>
      </c>
      <c r="Q22" s="7" t="n">
        <f aca="false">IF(AND(ISNUMBER(N22),ISNUMBER(D22)),D22/N22-1,"")</f>
        <v>0.2</v>
      </c>
      <c r="R22" s="2"/>
    </row>
    <row r="23" customFormat="false" ht="15" hidden="false" customHeight="false" outlineLevel="0" collapsed="false">
      <c r="A23" s="2" t="s">
        <v>71</v>
      </c>
      <c r="B23" s="2" t="s">
        <v>72</v>
      </c>
      <c r="C23" s="2" t="n">
        <v>124</v>
      </c>
      <c r="D23" s="3" t="n">
        <v>230</v>
      </c>
      <c r="E23" s="3" t="n">
        <v>190</v>
      </c>
      <c r="F23" s="4" t="s">
        <v>20</v>
      </c>
      <c r="G23" s="3" t="n">
        <v>190</v>
      </c>
      <c r="H23" s="4" t="s">
        <v>20</v>
      </c>
      <c r="I23" s="3" t="n">
        <v>210</v>
      </c>
      <c r="J23" s="4" t="s">
        <v>20</v>
      </c>
      <c r="K23" s="2"/>
      <c r="L23" s="2"/>
      <c r="M23" s="2" t="n">
        <f aca="false">COUNT(E23,G23,I23,K23)</f>
        <v>3</v>
      </c>
      <c r="N23" s="5" t="n">
        <f aca="false">IF(M23=0,"Non trouvé",IFERROR(MODE(E23,G23,I23,K23),MEDIAN(E23,G23,I23,K23)))</f>
        <v>190</v>
      </c>
      <c r="O23" s="2" t="str">
        <f aca="false">IF(M23=0,"Non trouvé",IF(M23=1,"Source unique",IF(ISNUMBER(MODE(E23,G23,I23,K23)),"Prix le plus fréquent","Aucun prix répété : médiane")))</f>
        <v>Prix le plus fréquent</v>
      </c>
      <c r="P23" s="6" t="n">
        <f aca="false">IF(AND(ISNUMBER(N23),ISNUMBER(D23)),D23-N23,"")</f>
        <v>40</v>
      </c>
      <c r="Q23" s="7" t="n">
        <f aca="false">IF(AND(ISNUMBER(N23),ISNUMBER(D23)),D23/N23-1,"")</f>
        <v>0.210526315789474</v>
      </c>
      <c r="R23" s="2"/>
    </row>
    <row r="24" customFormat="false" ht="15" hidden="false" customHeight="false" outlineLevel="0" collapsed="false">
      <c r="A24" s="2" t="s">
        <v>73</v>
      </c>
      <c r="B24" s="2" t="s">
        <v>74</v>
      </c>
      <c r="C24" s="2" t="n">
        <v>100</v>
      </c>
      <c r="D24" s="3" t="n">
        <v>85</v>
      </c>
      <c r="E24" s="3" t="n">
        <v>72</v>
      </c>
      <c r="F24" s="4" t="s">
        <v>20</v>
      </c>
      <c r="G24" s="3" t="n">
        <v>72</v>
      </c>
      <c r="H24" s="4" t="s">
        <v>20</v>
      </c>
      <c r="I24" s="3" t="n">
        <v>72</v>
      </c>
      <c r="J24" s="4" t="s">
        <v>20</v>
      </c>
      <c r="K24" s="2"/>
      <c r="L24" s="2"/>
      <c r="M24" s="2" t="n">
        <f aca="false">COUNT(E24,G24,I24,K24)</f>
        <v>3</v>
      </c>
      <c r="N24" s="5" t="n">
        <f aca="false">IF(M24=0,"Non trouvé",IFERROR(MODE(E24,G24,I24,K24),MEDIAN(E24,G24,I24,K24)))</f>
        <v>72</v>
      </c>
      <c r="O24" s="2" t="str">
        <f aca="false">IF(M24=0,"Non trouvé",IF(M24=1,"Source unique",IF(ISNUMBER(MODE(E24,G24,I24,K24)),"Prix le plus fréquent","Aucun prix répété : médiane")))</f>
        <v>Prix le plus fréquent</v>
      </c>
      <c r="P24" s="6" t="n">
        <f aca="false">IF(AND(ISNUMBER(N24),ISNUMBER(D24)),D24-N24,"")</f>
        <v>13</v>
      </c>
      <c r="Q24" s="7" t="n">
        <f aca="false">IF(AND(ISNUMBER(N24),ISNUMBER(D24)),D24/N24-1,"")</f>
        <v>0.180555555555556</v>
      </c>
      <c r="R24" s="2"/>
    </row>
    <row r="25" customFormat="false" ht="15" hidden="false" customHeight="false" outlineLevel="0" collapsed="false">
      <c r="A25" s="2" t="s">
        <v>75</v>
      </c>
      <c r="B25" s="2" t="s">
        <v>74</v>
      </c>
      <c r="C25" s="2" t="n">
        <v>52</v>
      </c>
      <c r="D25" s="3" t="n">
        <v>80</v>
      </c>
      <c r="E25" s="3" t="n">
        <v>72</v>
      </c>
      <c r="F25" s="4" t="s">
        <v>20</v>
      </c>
      <c r="G25" s="2"/>
      <c r="H25" s="2"/>
      <c r="I25" s="3" t="n">
        <v>72</v>
      </c>
      <c r="J25" s="4" t="s">
        <v>20</v>
      </c>
      <c r="K25" s="2"/>
      <c r="L25" s="2"/>
      <c r="M25" s="2" t="n">
        <f aca="false">COUNT(E25,G25,I25,K25)</f>
        <v>2</v>
      </c>
      <c r="N25" s="5" t="n">
        <f aca="false">IF(M25=0,"Non trouvé",IFERROR(MODE(E25,G25,I25,K25),MEDIAN(E25,G25,I25,K25)))</f>
        <v>72</v>
      </c>
      <c r="O25" s="2" t="str">
        <f aca="false">IF(M25=0,"Non trouvé",IF(M25=1,"Source unique",IF(ISNUMBER(MODE(E25,G25,I25,K25)),"Prix le plus fréquent","Aucun prix répété : médiane")))</f>
        <v>Prix le plus fréquent</v>
      </c>
      <c r="P25" s="6" t="n">
        <f aca="false">IF(AND(ISNUMBER(N25),ISNUMBER(D25)),D25-N25,"")</f>
        <v>8</v>
      </c>
      <c r="Q25" s="7" t="n">
        <f aca="false">IF(AND(ISNUMBER(N25),ISNUMBER(D25)),D25/N25-1,"")</f>
        <v>0.111111111111111</v>
      </c>
      <c r="R25" s="2"/>
    </row>
    <row r="26" customFormat="false" ht="15" hidden="false" customHeight="false" outlineLevel="0" collapsed="false">
      <c r="A26" s="2" t="s">
        <v>76</v>
      </c>
      <c r="B26" s="2" t="s">
        <v>74</v>
      </c>
      <c r="C26" s="2" t="n">
        <v>48</v>
      </c>
      <c r="D26" s="3" t="n">
        <v>80</v>
      </c>
      <c r="E26" s="3" t="n">
        <v>72</v>
      </c>
      <c r="F26" s="4" t="s">
        <v>20</v>
      </c>
      <c r="G26" s="3" t="n">
        <v>72</v>
      </c>
      <c r="H26" s="4" t="s">
        <v>20</v>
      </c>
      <c r="I26" s="3" t="n">
        <v>72</v>
      </c>
      <c r="J26" s="4" t="s">
        <v>20</v>
      </c>
      <c r="K26" s="2"/>
      <c r="L26" s="2"/>
      <c r="M26" s="2" t="n">
        <f aca="false">COUNT(E26,G26,I26,K26)</f>
        <v>3</v>
      </c>
      <c r="N26" s="5" t="n">
        <f aca="false">IF(M26=0,"Non trouvé",IFERROR(MODE(E26,G26,I26,K26),MEDIAN(E26,G26,I26,K26)))</f>
        <v>72</v>
      </c>
      <c r="O26" s="2" t="str">
        <f aca="false">IF(M26=0,"Non trouvé",IF(M26=1,"Source unique",IF(ISNUMBER(MODE(E26,G26,I26,K26)),"Prix le plus fréquent","Aucun prix répété : médiane")))</f>
        <v>Prix le plus fréquent</v>
      </c>
      <c r="P26" s="6" t="n">
        <f aca="false">IF(AND(ISNUMBER(N26),ISNUMBER(D26)),D26-N26,"")</f>
        <v>8</v>
      </c>
      <c r="Q26" s="7" t="n">
        <f aca="false">IF(AND(ISNUMBER(N26),ISNUMBER(D26)),D26/N26-1,"")</f>
        <v>0.111111111111111</v>
      </c>
      <c r="R26" s="2"/>
    </row>
    <row r="27" customFormat="false" ht="15" hidden="false" customHeight="false" outlineLevel="0" collapsed="false">
      <c r="A27" s="2" t="s">
        <v>77</v>
      </c>
      <c r="B27" s="2" t="s">
        <v>78</v>
      </c>
      <c r="C27" s="2" t="n">
        <v>4730</v>
      </c>
      <c r="D27" s="3" t="n">
        <v>20</v>
      </c>
      <c r="E27" s="3" t="n">
        <v>15.5</v>
      </c>
      <c r="F27" s="4" t="s">
        <v>20</v>
      </c>
      <c r="G27" s="2"/>
      <c r="H27" s="2"/>
      <c r="I27" s="3" t="n">
        <v>17</v>
      </c>
      <c r="J27" s="4" t="s">
        <v>20</v>
      </c>
      <c r="K27" s="3" t="n">
        <v>20</v>
      </c>
      <c r="L27" s="4" t="s">
        <v>20</v>
      </c>
      <c r="M27" s="2" t="n">
        <f aca="false">COUNT(E27,G27,I27,K27)</f>
        <v>3</v>
      </c>
      <c r="N27" s="5" t="n">
        <f aca="false">IF(M27=0,"Non trouvé",IFERROR(MODE(E27,G27,I27,K27),MEDIAN(E27,G27,I27,K27)))</f>
        <v>17</v>
      </c>
      <c r="O27" s="2" t="str">
        <f aca="false">IF(M27=0,"Non trouvé",IF(M27=1,"Source unique",IF(ISNUMBER(MODE(E27,G27,I27,K27)),"Prix le plus fréquent","Aucun prix répété : médiane")))</f>
        <v>Aucun prix répété : médiane</v>
      </c>
      <c r="P27" s="6" t="n">
        <f aca="false">IF(AND(ISNUMBER(N27),ISNUMBER(D27)),D27-N27,"")</f>
        <v>3</v>
      </c>
      <c r="Q27" s="7" t="n">
        <f aca="false">IF(AND(ISNUMBER(N27),ISNUMBER(D27)),D27/N27-1,"")</f>
        <v>0.176470588235294</v>
      </c>
      <c r="R27" s="2"/>
    </row>
    <row r="28" customFormat="false" ht="15" hidden="false" customHeight="false" outlineLevel="0" collapsed="false">
      <c r="A28" s="2" t="s">
        <v>79</v>
      </c>
      <c r="B28" s="2" t="s">
        <v>80</v>
      </c>
      <c r="C28" s="2" t="n">
        <v>74</v>
      </c>
      <c r="D28" s="3" t="n">
        <v>220</v>
      </c>
      <c r="E28" s="3" t="n">
        <v>219</v>
      </c>
      <c r="F28" s="4" t="s">
        <v>20</v>
      </c>
      <c r="G28" s="3" t="n">
        <v>219</v>
      </c>
      <c r="H28" s="4" t="s">
        <v>20</v>
      </c>
      <c r="I28" s="3" t="n">
        <v>215</v>
      </c>
      <c r="J28" s="4" t="s">
        <v>20</v>
      </c>
      <c r="K28" s="3" t="n">
        <v>225</v>
      </c>
      <c r="L28" s="4" t="s">
        <v>20</v>
      </c>
      <c r="M28" s="2" t="n">
        <f aca="false">COUNT(E28,G28,I28,K28)</f>
        <v>4</v>
      </c>
      <c r="N28" s="5" t="n">
        <f aca="false">IF(M28=0,"Non trouvé",IFERROR(MODE(E28,G28,I28,K28),MEDIAN(E28,G28,I28,K28)))</f>
        <v>219</v>
      </c>
      <c r="O28" s="2" t="str">
        <f aca="false">IF(M28=0,"Non trouvé",IF(M28=1,"Source unique",IF(ISNUMBER(MODE(E28,G28,I28,K28)),"Prix le plus fréquent","Aucun prix répété : médiane")))</f>
        <v>Prix le plus fréquent</v>
      </c>
      <c r="P28" s="6" t="n">
        <f aca="false">IF(AND(ISNUMBER(N28),ISNUMBER(D28)),D28-N28,"")</f>
        <v>1</v>
      </c>
      <c r="Q28" s="7" t="n">
        <f aca="false">IF(AND(ISNUMBER(N28),ISNUMBER(D28)),D28/N28-1,"")</f>
        <v>0.00456621004566205</v>
      </c>
      <c r="R28" s="2"/>
    </row>
    <row r="29" customFormat="false" ht="15" hidden="false" customHeight="false" outlineLevel="0" collapsed="false">
      <c r="A29" s="2" t="s">
        <v>81</v>
      </c>
      <c r="B29" s="2" t="s">
        <v>82</v>
      </c>
      <c r="C29" s="2" t="n">
        <v>21</v>
      </c>
      <c r="D29" s="3" t="n">
        <v>65.61</v>
      </c>
      <c r="E29" s="2"/>
      <c r="F29" s="2"/>
      <c r="G29" s="2"/>
      <c r="H29" s="2"/>
      <c r="I29" s="2"/>
      <c r="J29" s="2"/>
      <c r="K29" s="2"/>
      <c r="L29" s="2"/>
      <c r="M29" s="2" t="n">
        <f aca="false">COUNT(E29,G29,I29,K29)</f>
        <v>0</v>
      </c>
      <c r="N29" s="5" t="str">
        <f aca="false">IF(M29=0,"Non trouvé",IFERROR(MODE(E29,G29,I29,K29),MEDIAN(E29,G29,I29,K29)))</f>
        <v>Non trouvé</v>
      </c>
      <c r="O29" s="2" t="str">
        <f aca="false">IF(M29=0,"Non trouvé",IF(M29=1,"Source unique",IF(ISNUMBER(MODE(E29,G29,I29,K29)),"Prix le plus fréquent","Aucun prix répété : médiane")))</f>
        <v>Non trouvé</v>
      </c>
      <c r="P29" s="6" t="str">
        <f aca="false">IF(AND(ISNUMBER(N29),ISNUMBER(D29)),D29-N29,"")</f>
        <v/>
      </c>
      <c r="Q29" s="7" t="str">
        <f aca="false">IF(AND(ISNUMBER(N29),ISNUMBER(D29)),D29/N29-1,"")</f>
        <v/>
      </c>
      <c r="R29" s="2" t="s">
        <v>83</v>
      </c>
    </row>
    <row r="30" customFormat="false" ht="15" hidden="false" customHeight="false" outlineLevel="0" collapsed="false">
      <c r="A30" s="2" t="s">
        <v>84</v>
      </c>
      <c r="B30" s="2" t="s">
        <v>85</v>
      </c>
      <c r="C30" s="2" t="n">
        <v>8</v>
      </c>
      <c r="D30" s="3" t="n">
        <v>74.52</v>
      </c>
      <c r="E30" s="2"/>
      <c r="F30" s="2"/>
      <c r="G30" s="2"/>
      <c r="H30" s="2"/>
      <c r="I30" s="2"/>
      <c r="J30" s="2"/>
      <c r="K30" s="2"/>
      <c r="L30" s="2"/>
      <c r="M30" s="2" t="n">
        <f aca="false">COUNT(E30,G30,I30,K30)</f>
        <v>0</v>
      </c>
      <c r="N30" s="5" t="str">
        <f aca="false">IF(M30=0,"Non trouvé",IFERROR(MODE(E30,G30,I30,K30),MEDIAN(E30,G30,I30,K30)))</f>
        <v>Non trouvé</v>
      </c>
      <c r="O30" s="2" t="str">
        <f aca="false">IF(M30=0,"Non trouvé",IF(M30=1,"Source unique",IF(ISNUMBER(MODE(E30,G30,I30,K30)),"Prix le plus fréquent","Aucun prix répété : médiane")))</f>
        <v>Non trouvé</v>
      </c>
      <c r="P30" s="6" t="str">
        <f aca="false">IF(AND(ISNUMBER(N30),ISNUMBER(D30)),D30-N30,"")</f>
        <v/>
      </c>
      <c r="Q30" s="7" t="str">
        <f aca="false">IF(AND(ISNUMBER(N30),ISNUMBER(D30)),D30/N30-1,"")</f>
        <v/>
      </c>
      <c r="R30" s="2" t="s">
        <v>83</v>
      </c>
    </row>
    <row r="31" customFormat="false" ht="15" hidden="false" customHeight="false" outlineLevel="0" collapsed="false">
      <c r="A31" s="2" t="s">
        <v>86</v>
      </c>
      <c r="B31" s="2" t="s">
        <v>87</v>
      </c>
      <c r="C31" s="2" t="n">
        <v>258</v>
      </c>
      <c r="D31" s="3" t="n">
        <v>65.61</v>
      </c>
      <c r="E31" s="2"/>
      <c r="F31" s="2"/>
      <c r="G31" s="2"/>
      <c r="H31" s="2"/>
      <c r="I31" s="2"/>
      <c r="J31" s="2"/>
      <c r="K31" s="2"/>
      <c r="L31" s="2"/>
      <c r="M31" s="2" t="n">
        <f aca="false">COUNT(E31,G31,I31,K31)</f>
        <v>0</v>
      </c>
      <c r="N31" s="5" t="str">
        <f aca="false">IF(M31=0,"Non trouvé",IFERROR(MODE(E31,G31,I31,K31),MEDIAN(E31,G31,I31,K31)))</f>
        <v>Non trouvé</v>
      </c>
      <c r="O31" s="2" t="str">
        <f aca="false">IF(M31=0,"Non trouvé",IF(M31=1,"Source unique",IF(ISNUMBER(MODE(E31,G31,I31,K31)),"Prix le plus fréquent","Aucun prix répété : médiane")))</f>
        <v>Non trouvé</v>
      </c>
      <c r="P31" s="6" t="str">
        <f aca="false">IF(AND(ISNUMBER(N31),ISNUMBER(D31)),D31-N31,"")</f>
        <v/>
      </c>
      <c r="Q31" s="7" t="str">
        <f aca="false">IF(AND(ISNUMBER(N31),ISNUMBER(D31)),D31/N31-1,"")</f>
        <v/>
      </c>
      <c r="R31" s="2" t="s">
        <v>83</v>
      </c>
    </row>
    <row r="32" customFormat="false" ht="15" hidden="false" customHeight="false" outlineLevel="0" collapsed="false">
      <c r="A32" s="2" t="s">
        <v>88</v>
      </c>
      <c r="B32" s="2" t="s">
        <v>89</v>
      </c>
      <c r="C32" s="2" t="n">
        <v>79</v>
      </c>
      <c r="D32" s="3" t="n">
        <v>65.61</v>
      </c>
      <c r="E32" s="2"/>
      <c r="F32" s="2"/>
      <c r="G32" s="2"/>
      <c r="H32" s="2"/>
      <c r="I32" s="2"/>
      <c r="J32" s="2"/>
      <c r="K32" s="2"/>
      <c r="L32" s="2"/>
      <c r="M32" s="2" t="n">
        <f aca="false">COUNT(E32,G32,I32,K32)</f>
        <v>0</v>
      </c>
      <c r="N32" s="5" t="str">
        <f aca="false">IF(M32=0,"Non trouvé",IFERROR(MODE(E32,G32,I32,K32),MEDIAN(E32,G32,I32,K32)))</f>
        <v>Non trouvé</v>
      </c>
      <c r="O32" s="2" t="str">
        <f aca="false">IF(M32=0,"Non trouvé",IF(M32=1,"Source unique",IF(ISNUMBER(MODE(E32,G32,I32,K32)),"Prix le plus fréquent","Aucun prix répété : médiane")))</f>
        <v>Non trouvé</v>
      </c>
      <c r="P32" s="6" t="str">
        <f aca="false">IF(AND(ISNUMBER(N32),ISNUMBER(D32)),D32-N32,"")</f>
        <v/>
      </c>
      <c r="Q32" s="7" t="str">
        <f aca="false">IF(AND(ISNUMBER(N32),ISNUMBER(D32)),D32/N32-1,"")</f>
        <v/>
      </c>
      <c r="R32" s="2" t="s">
        <v>83</v>
      </c>
    </row>
    <row r="33" customFormat="false" ht="15" hidden="false" customHeight="false" outlineLevel="0" collapsed="false">
      <c r="A33" s="2" t="s">
        <v>90</v>
      </c>
      <c r="B33" s="2" t="s">
        <v>91</v>
      </c>
      <c r="C33" s="2" t="n">
        <v>146</v>
      </c>
      <c r="D33" s="3" t="n">
        <v>65.61</v>
      </c>
      <c r="E33" s="2"/>
      <c r="F33" s="2"/>
      <c r="G33" s="2"/>
      <c r="H33" s="2"/>
      <c r="I33" s="2"/>
      <c r="J33" s="2"/>
      <c r="K33" s="2"/>
      <c r="L33" s="2"/>
      <c r="M33" s="2" t="n">
        <f aca="false">COUNT(E33,G33,I33,K33)</f>
        <v>0</v>
      </c>
      <c r="N33" s="5" t="str">
        <f aca="false">IF(M33=0,"Non trouvé",IFERROR(MODE(E33,G33,I33,K33),MEDIAN(E33,G33,I33,K33)))</f>
        <v>Non trouvé</v>
      </c>
      <c r="O33" s="2" t="str">
        <f aca="false">IF(M33=0,"Non trouvé",IF(M33=1,"Source unique",IF(ISNUMBER(MODE(E33,G33,I33,K33)),"Prix le plus fréquent","Aucun prix répété : médiane")))</f>
        <v>Non trouvé</v>
      </c>
      <c r="P33" s="6" t="str">
        <f aca="false">IF(AND(ISNUMBER(N33),ISNUMBER(D33)),D33-N33,"")</f>
        <v/>
      </c>
      <c r="Q33" s="7" t="str">
        <f aca="false">IF(AND(ISNUMBER(N33),ISNUMBER(D33)),D33/N33-1,"")</f>
        <v/>
      </c>
      <c r="R33" s="2" t="s">
        <v>83</v>
      </c>
    </row>
    <row r="34" customFormat="false" ht="15" hidden="false" customHeight="false" outlineLevel="0" collapsed="false">
      <c r="A34" s="2" t="s">
        <v>92</v>
      </c>
      <c r="B34" s="2" t="s">
        <v>93</v>
      </c>
      <c r="C34" s="2" t="n">
        <v>150</v>
      </c>
      <c r="D34" s="3" t="n">
        <v>65.61</v>
      </c>
      <c r="E34" s="2"/>
      <c r="F34" s="2"/>
      <c r="G34" s="2"/>
      <c r="H34" s="2"/>
      <c r="I34" s="2"/>
      <c r="J34" s="2"/>
      <c r="K34" s="2"/>
      <c r="L34" s="2"/>
      <c r="M34" s="2" t="n">
        <f aca="false">COUNT(E34,G34,I34,K34)</f>
        <v>0</v>
      </c>
      <c r="N34" s="5" t="str">
        <f aca="false">IF(M34=0,"Non trouvé",IFERROR(MODE(E34,G34,I34,K34),MEDIAN(E34,G34,I34,K34)))</f>
        <v>Non trouvé</v>
      </c>
      <c r="O34" s="2" t="str">
        <f aca="false">IF(M34=0,"Non trouvé",IF(M34=1,"Source unique",IF(ISNUMBER(MODE(E34,G34,I34,K34)),"Prix le plus fréquent","Aucun prix répété : médiane")))</f>
        <v>Non trouvé</v>
      </c>
      <c r="P34" s="6" t="str">
        <f aca="false">IF(AND(ISNUMBER(N34),ISNUMBER(D34)),D34-N34,"")</f>
        <v/>
      </c>
      <c r="Q34" s="7" t="str">
        <f aca="false">IF(AND(ISNUMBER(N34),ISNUMBER(D34)),D34/N34-1,"")</f>
        <v/>
      </c>
      <c r="R34" s="2" t="s">
        <v>83</v>
      </c>
    </row>
    <row r="35" customFormat="false" ht="15" hidden="false" customHeight="false" outlineLevel="0" collapsed="false">
      <c r="A35" s="2" t="s">
        <v>94</v>
      </c>
      <c r="B35" s="2" t="s">
        <v>95</v>
      </c>
      <c r="C35" s="2" t="n">
        <v>54</v>
      </c>
      <c r="D35" s="3" t="n">
        <v>80</v>
      </c>
      <c r="E35" s="2"/>
      <c r="F35" s="2"/>
      <c r="G35" s="2"/>
      <c r="H35" s="2"/>
      <c r="I35" s="2"/>
      <c r="J35" s="2"/>
      <c r="K35" s="2"/>
      <c r="L35" s="2"/>
      <c r="M35" s="2" t="n">
        <f aca="false">COUNT(E35,G35,I35,K35)</f>
        <v>0</v>
      </c>
      <c r="N35" s="5" t="str">
        <f aca="false">IF(M35=0,"Non trouvé",IFERROR(MODE(E35,G35,I35,K35),MEDIAN(E35,G35,I35,K35)))</f>
        <v>Non trouvé</v>
      </c>
      <c r="O35" s="2" t="str">
        <f aca="false">IF(M35=0,"Non trouvé",IF(M35=1,"Source unique",IF(ISNUMBER(MODE(E35,G35,I35,K35)),"Prix le plus fréquent","Aucun prix répété : médiane")))</f>
        <v>Non trouvé</v>
      </c>
      <c r="P35" s="6" t="str">
        <f aca="false">IF(AND(ISNUMBER(N35),ISNUMBER(D35)),D35-N35,"")</f>
        <v/>
      </c>
      <c r="Q35" s="7" t="str">
        <f aca="false">IF(AND(ISNUMBER(N35),ISNUMBER(D35)),D35/N35-1,"")</f>
        <v/>
      </c>
      <c r="R35" s="2" t="s">
        <v>96</v>
      </c>
    </row>
    <row r="36" customFormat="false" ht="15" hidden="false" customHeight="false" outlineLevel="0" collapsed="false">
      <c r="A36" s="2" t="s">
        <v>97</v>
      </c>
      <c r="B36" s="2" t="s">
        <v>98</v>
      </c>
      <c r="C36" s="2" t="n">
        <v>2</v>
      </c>
      <c r="D36" s="3" t="n">
        <v>750</v>
      </c>
      <c r="E36" s="2"/>
      <c r="F36" s="2"/>
      <c r="G36" s="2"/>
      <c r="H36" s="2"/>
      <c r="I36" s="2"/>
      <c r="J36" s="2"/>
      <c r="K36" s="2"/>
      <c r="L36" s="2"/>
      <c r="M36" s="2" t="n">
        <f aca="false">COUNT(E36,G36,I36,K36)</f>
        <v>0</v>
      </c>
      <c r="N36" s="5" t="str">
        <f aca="false">IF(M36=0,"Non trouvé",IFERROR(MODE(E36,G36,I36,K36),MEDIAN(E36,G36,I36,K36)))</f>
        <v>Non trouvé</v>
      </c>
      <c r="O36" s="2" t="str">
        <f aca="false">IF(M36=0,"Non trouvé",IF(M36=1,"Source unique",IF(ISNUMBER(MODE(E36,G36,I36,K36)),"Prix le plus fréquent","Aucun prix répété : médiane")))</f>
        <v>Non trouvé</v>
      </c>
      <c r="P36" s="6" t="str">
        <f aca="false">IF(AND(ISNUMBER(N36),ISNUMBER(D36)),D36-N36,"")</f>
        <v/>
      </c>
      <c r="Q36" s="7" t="str">
        <f aca="false">IF(AND(ISNUMBER(N36),ISNUMBER(D36)),D36/N36-1,"")</f>
        <v/>
      </c>
      <c r="R36" s="2" t="s">
        <v>99</v>
      </c>
    </row>
    <row r="38" customFormat="false" ht="15" hidden="false" customHeight="false" outlineLevel="0" collapsed="false">
      <c r="A38" s="8" t="s">
        <v>100</v>
      </c>
    </row>
    <row r="39" customFormat="false" ht="15" hidden="false" customHeight="false" outlineLevel="0" collapsed="false">
      <c r="A39" s="8" t="s">
        <v>101</v>
      </c>
    </row>
    <row r="40" customFormat="false" ht="15" hidden="false" customHeight="false" outlineLevel="0" collapsed="false">
      <c r="A40" s="8" t="s">
        <v>102</v>
      </c>
    </row>
  </sheetData>
  <autoFilter ref="A1:R36"/>
  <hyperlinks>
    <hyperlink ref="J2" r:id="rId1" display="Voir produit"/>
    <hyperlink ref="F3" r:id="rId2" display="Voir produit"/>
    <hyperlink ref="H3" r:id="rId3" display="Voir produit"/>
    <hyperlink ref="J3" r:id="rId4" display="Voir produit"/>
    <hyperlink ref="F4" r:id="rId5" display="Voir produit"/>
    <hyperlink ref="J4" r:id="rId6" display="Voir produit"/>
    <hyperlink ref="F5" r:id="rId7" display="Voir produit"/>
    <hyperlink ref="J5" r:id="rId8" display="Voir produit"/>
    <hyperlink ref="F6" r:id="rId9" display="Voir produit"/>
    <hyperlink ref="J6" r:id="rId10" display="Voir produit"/>
    <hyperlink ref="F9" r:id="rId11" display="Voir produit"/>
    <hyperlink ref="J10" r:id="rId12" display="Voir produit"/>
    <hyperlink ref="J11" r:id="rId13" display="Voir produit"/>
    <hyperlink ref="H12" r:id="rId14" display="Voir produit"/>
    <hyperlink ref="J12" r:id="rId15" display="Voir produit"/>
    <hyperlink ref="H13" r:id="rId16" display="Voir produit"/>
    <hyperlink ref="H16" r:id="rId17" display="Voir produit"/>
    <hyperlink ref="F17" r:id="rId18" display="Voir produit"/>
    <hyperlink ref="L17" r:id="rId19" display="Voir produit"/>
    <hyperlink ref="H18" r:id="rId20" display="Voir produit"/>
    <hyperlink ref="F19" r:id="rId21" display="Voir produit"/>
    <hyperlink ref="H19" r:id="rId22" display="Voir produit"/>
    <hyperlink ref="J19" r:id="rId23" display="Voir produit"/>
    <hyperlink ref="L19" r:id="rId24" display="Voir produit"/>
    <hyperlink ref="F20" r:id="rId25" display="Voir produit"/>
    <hyperlink ref="H20" r:id="rId26" display="Voir produit"/>
    <hyperlink ref="J20" r:id="rId27" display="Voir produit"/>
    <hyperlink ref="F21" r:id="rId28" display="Voir produit"/>
    <hyperlink ref="J21" r:id="rId29" display="Voir produit"/>
    <hyperlink ref="F22" r:id="rId30" display="Voir produit"/>
    <hyperlink ref="H22" r:id="rId31" display="Voir produit"/>
    <hyperlink ref="J22" r:id="rId32" display="Voir produit"/>
    <hyperlink ref="L22" r:id="rId33" display="Voir produit"/>
    <hyperlink ref="F23" r:id="rId34" display="Voir produit"/>
    <hyperlink ref="H23" r:id="rId35" display="Voir produit"/>
    <hyperlink ref="J23" r:id="rId36" display="Voir produit"/>
    <hyperlink ref="F24" r:id="rId37" display="Voir produit"/>
    <hyperlink ref="H24" r:id="rId38" display="Voir produit"/>
    <hyperlink ref="J24" r:id="rId39" display="Voir produit"/>
    <hyperlink ref="F25" r:id="rId40" display="Voir produit"/>
    <hyperlink ref="J25" r:id="rId41" display="Voir produit"/>
    <hyperlink ref="F26" r:id="rId42" display="Voir produit"/>
    <hyperlink ref="H26" r:id="rId43" display="Voir produit"/>
    <hyperlink ref="J26" r:id="rId44" display="Voir produit"/>
    <hyperlink ref="F27" r:id="rId45" display="Voir produit"/>
    <hyperlink ref="J27" r:id="rId46" display="Voir produit"/>
    <hyperlink ref="L27" r:id="rId47" display="Voir produit"/>
    <hyperlink ref="F28" r:id="rId48" display="Voir produit"/>
    <hyperlink ref="H28" r:id="rId49" display="Voir produit"/>
    <hyperlink ref="J28" r:id="rId50" display="Voir produit"/>
    <hyperlink ref="L28" r:id="rId51" display="Voir produ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2026-10-10T20:46:18Z</dcterms:created>
  <dc:creator>openpyxl</dc:creator>
  <dc:description/>
  <dc:language>en-US</dc:language>
  <cp:lastModifiedBy/>
  <dcterms:modified xsi:type="dcterms:W3CDTF">2026-10-10T20:46:18Z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