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ock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<sst xmlns="http://schemas.openxmlformats.org/spreadsheetml/2006/main" count="309" uniqueCount="118">
  <si>
    <t xml:space="preserve">Designation</t>
  </si>
  <si>
    <t xml:space="preserve">Variante</t>
  </si>
  <si>
    <t xml:space="preserve">Categorie</t>
  </si>
  <si>
    <t xml:space="preserve">Marque</t>
  </si>
  <si>
    <t xml:space="preserve">Reference</t>
  </si>
  <si>
    <t xml:space="preserve">Ref variant</t>
  </si>
  <si>
    <t xml:space="preserve">Image</t>
  </si>
  <si>
    <t xml:space="preserve">Stock</t>
  </si>
  <si>
    <t xml:space="preserve">Prix vente</t>
  </si>
  <si>
    <t xml:space="preserve">Prix vente 2</t>
  </si>
  <si>
    <t xml:space="preserve">Est dans un snapshot</t>
  </si>
  <si>
    <t xml:space="preserve">Prix Bricoma</t>
  </si>
  <si>
    <t xml:space="preserve">Lien Bricoma</t>
  </si>
  <si>
    <t xml:space="preserve">Prix Mr Bricolage</t>
  </si>
  <si>
    <t xml:space="preserve">Lien Mr Bricolage</t>
  </si>
  <si>
    <t xml:space="preserve">Prix Bricop</t>
  </si>
  <si>
    <t xml:space="preserve">Lien Bricop</t>
  </si>
  <si>
    <t xml:space="preserve">Prix Outillage Aouami</t>
  </si>
  <si>
    <t xml:space="preserve">Lien Outillage Aouami</t>
  </si>
  <si>
    <t xml:space="preserve">Nb sites</t>
  </si>
  <si>
    <t xml:space="preserve">Prix retenu (le plus fréquent)</t>
  </si>
  <si>
    <t xml:space="preserve">Méthode</t>
  </si>
  <si>
    <t xml:space="preserve">Écart Prix vente − retenu</t>
  </si>
  <si>
    <t xml:space="preserve">Écart %</t>
  </si>
  <si>
    <t xml:space="preserve">Remarque</t>
  </si>
  <si>
    <t xml:space="preserve">SIKA Level 110 25 kg</t>
  </si>
  <si>
    <t xml:space="preserve">MORTIERS &amp; SUPPORTS TECHNIQUES</t>
  </si>
  <si>
    <t xml:space="preserve">Sika</t>
  </si>
  <si>
    <t xml:space="preserve">6430</t>
  </si>
  <si>
    <t xml:space="preserve">Oui</t>
  </si>
  <si>
    <t xml:space="preserve">Voir produit</t>
  </si>
  <si>
    <t xml:space="preserve">Probable : Bricop vend un « Mortier de nivellement Sika » sans fiche détaillée (Sikafloor-110 Level au Maroc) — à vérifier</t>
  </si>
  <si>
    <t xml:space="preserve">SIKA GROUTE 212 25 kg</t>
  </si>
  <si>
    <t xml:space="preserve">6171</t>
  </si>
  <si>
    <t xml:space="preserve">SIKA Monotop® - 411 RM</t>
  </si>
  <si>
    <t xml:space="preserve">5265</t>
  </si>
  <si>
    <t xml:space="preserve">Sikaflex Pro - 3</t>
  </si>
  <si>
    <t xml:space="preserve">SILICONE SEALANT</t>
  </si>
  <si>
    <t xml:space="preserve">5048</t>
  </si>
  <si>
    <t xml:space="preserve">Sika' Décoffrage 5 L</t>
  </si>
  <si>
    <t xml:space="preserve">3712</t>
  </si>
  <si>
    <t xml:space="preserve">SIKA WATERBAR D19 × 15 m Joint Jaune</t>
  </si>
  <si>
    <t xml:space="preserve">ÉTANCHÉITÉ &amp; IMPERMEABILISATION</t>
  </si>
  <si>
    <t xml:space="preserve">3423</t>
  </si>
  <si>
    <t xml:space="preserve">Introuvable en ligne au Maroc (vendu seulement en France, ex. bag-distribution.fr)</t>
  </si>
  <si>
    <t xml:space="preserve">SIKA LANKOSEC 321</t>
  </si>
  <si>
    <t xml:space="preserve">3323</t>
  </si>
  <si>
    <t xml:space="preserve">Introuvable en ligne au Maroc</t>
  </si>
  <si>
    <t xml:space="preserve">SIKA Conservador b25 L</t>
  </si>
  <si>
    <t xml:space="preserve">2408</t>
  </si>
  <si>
    <t xml:space="preserve">Bidon 25 L — en rupture chez Bricoma</t>
  </si>
  <si>
    <t xml:space="preserve">Sikafill® Toiture</t>
  </si>
  <si>
    <t xml:space="preserve">2406</t>
  </si>
  <si>
    <t xml:space="preserve">Format 20 kg supposé (votre prix 650). Bricop : Blanc 20 kg 795 / Rouge 20 kg 829. En 5 kg : Bricoma 135, Bricop 229</t>
  </si>
  <si>
    <t xml:space="preserve">SIKA Mortier Rapide 5 kg</t>
  </si>
  <si>
    <t xml:space="preserve">2405</t>
  </si>
  <si>
    <t xml:space="preserve">Seau 5 kg. Bricoma ne vend que le 10 kg (745)</t>
  </si>
  <si>
    <t xml:space="preserve">SIKA BOOM Mousse Construction</t>
  </si>
  <si>
    <t xml:space="preserve">2402</t>
  </si>
  <si>
    <t xml:space="preserve">Bombe 750 ml</t>
  </si>
  <si>
    <t xml:space="preserve">SikaCeram• 80I Blanc 25 kg</t>
  </si>
  <si>
    <t xml:space="preserve">COLLES DE CARRELAGE &amp; MARBRE</t>
  </si>
  <si>
    <t xml:space="preserve">2025</t>
  </si>
  <si>
    <t xml:space="preserve">SIKA M70 Blanc 20 kg</t>
  </si>
  <si>
    <t xml:space="preserve">2016</t>
  </si>
  <si>
    <t xml:space="preserve">SIKA 522 25 kg</t>
  </si>
  <si>
    <t xml:space="preserve">2015</t>
  </si>
  <si>
    <t xml:space="preserve">Introuvable en ligne au Maroc (SikaCeram 522 Prolidal)</t>
  </si>
  <si>
    <t xml:space="preserve">SIKA I 80 Gris 25 kg</t>
  </si>
  <si>
    <t xml:space="preserve">2011</t>
  </si>
  <si>
    <t xml:space="preserve">SIKA 1 kg</t>
  </si>
  <si>
    <t xml:space="preserve">MATIERE DE CONSTRUCTION</t>
  </si>
  <si>
    <t xml:space="preserve">1955</t>
  </si>
  <si>
    <t xml:space="preserve">Supposé Super Sikalite 1 kg (désignation ambiguë)</t>
  </si>
  <si>
    <t xml:space="preserve">SIKA Conservado 5 L</t>
  </si>
  <si>
    <t xml:space="preserve">1355</t>
  </si>
  <si>
    <t xml:space="preserve">Vendu « Conservado 5 kg » chez Mr Bricolage</t>
  </si>
  <si>
    <t xml:space="preserve">SIKA TOP®121 Surfaçage m</t>
  </si>
  <si>
    <t xml:space="preserve">1257</t>
  </si>
  <si>
    <t xml:space="preserve">SIKA TOP 122 Réparation m</t>
  </si>
  <si>
    <t xml:space="preserve">1256</t>
  </si>
  <si>
    <t xml:space="preserve">Sika Latex 5 L</t>
  </si>
  <si>
    <t xml:space="preserve">1194</t>
  </si>
  <si>
    <t xml:space="preserve">Sika Latex 2 L</t>
  </si>
  <si>
    <t xml:space="preserve">1193</t>
  </si>
  <si>
    <t xml:space="preserve">SIKA Dur 31 Colle m</t>
  </si>
  <si>
    <t xml:space="preserve">1192</t>
  </si>
  <si>
    <t xml:space="preserve">SILICONE SIKA FLEX PRO - 11FC</t>
  </si>
  <si>
    <t xml:space="preserve">6132</t>
  </si>
  <si>
    <t xml:space="preserve">Blanc</t>
  </si>
  <si>
    <t xml:space="preserve">Gris</t>
  </si>
  <si>
    <t xml:space="preserve">Hydrofuge Sika' Poudre 0.5kg</t>
  </si>
  <si>
    <t xml:space="preserve">1954</t>
  </si>
  <si>
    <t xml:space="preserve">Silicone Sikas Anchorfix2._</t>
  </si>
  <si>
    <t xml:space="preserve">1287</t>
  </si>
  <si>
    <t xml:space="preserve">MASTIC SIKA 544 MARRON 5 kg</t>
  </si>
  <si>
    <t xml:space="preserve">MASTIQUE ET JOINT</t>
  </si>
  <si>
    <t xml:space="preserve">1268</t>
  </si>
  <si>
    <t xml:space="preserve">Introuvable en ligne au Maroc (ParexLanko/SikaCeram 543-544 Prolijoint)</t>
  </si>
  <si>
    <t xml:space="preserve">MASTIC SIKA 544 BLEU 5 kg</t>
  </si>
  <si>
    <t xml:space="preserve">1267</t>
  </si>
  <si>
    <t xml:space="preserve">MASTIC SIKA 543 Gris 5 kg</t>
  </si>
  <si>
    <t xml:space="preserve">1266</t>
  </si>
  <si>
    <t xml:space="preserve">MASTIC SIKA 543 Noir 5 kg</t>
  </si>
  <si>
    <t xml:space="preserve">1265</t>
  </si>
  <si>
    <t xml:space="preserve">MASTIC SIKA 543 Blanc 5 kg</t>
  </si>
  <si>
    <t xml:space="preserve">1264</t>
  </si>
  <si>
    <t xml:space="preserve">MASTIC SIKA 543 BEIGE 5 kg</t>
  </si>
  <si>
    <t xml:space="preserve">1263</t>
  </si>
  <si>
    <t xml:space="preserve">Fibré SIKA FIBRE</t>
  </si>
  <si>
    <t xml:space="preserve">1191</t>
  </si>
  <si>
    <t xml:space="preserve">Aucun prix public : Rifaa (rifaa.ma) le référence sur devis (SikaFiber Polypropylene 12-32)</t>
  </si>
  <si>
    <t xml:space="preserve">Époxy Grout 5 kg</t>
  </si>
  <si>
    <t xml:space="preserve">2407</t>
  </si>
  <si>
    <t xml:space="preserve">Aucun prix public : Rifaa (rifaa.ma) le référence sur devis (SikaCeram EpoxyGrout)</t>
  </si>
  <si>
    <t xml:space="preserve">Méthode : prix publics TTC relevés le 10/10/2026 sur bricoma.ma, mrbricolage.ma, bricop.ma et outillageaouami.com (rifaa.ma consulté : prix sur devis uniquement).</t>
  </si>
  <si>
    <t xml:space="preserve">Prix retenu = prix qui revient le plus souvent entre les sites ; si aucun prix ne se répète, la médiane ; si un seul site, son prix.</t>
  </si>
  <si>
    <t xml:space="preserve">Écart positif = votre prix de vente est au-dessus du prix marché retenu. Jumia non consulté (accès bloqué par vérification anti-robot).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</si>
</sst>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General"/>
    <numFmt numFmtId="167" formatCode="#,##0.00;[RED]\-#,##0.00"/>
    <numFmt numFmtId="168" formatCode="0.0%;[RED]\-0.0%"/>
  </numFmts>
  <fonts count="8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bricop.ma/sika-mortier-de-nivellement-sika-maroc/" TargetMode="External"/><Relationship Id="rId2" Type="http://schemas.openxmlformats.org/officeDocument/2006/relationships/hyperlink" Target="https://www.bricoma.ma/sikagrout-212-m-sac-de-25kg.html" TargetMode="External"/><Relationship Id="rId3" Type="http://schemas.openxmlformats.org/officeDocument/2006/relationships/hyperlink" Target="https://mrbricolage.ma/produit/sikagrout-212-scellement-25kg/" TargetMode="External"/><Relationship Id="rId4" Type="http://schemas.openxmlformats.org/officeDocument/2006/relationships/hyperlink" Target="https://www.bricop.ma/sika-sikagrout-212-m-sac-de-25-kg-maroc/" TargetMode="External"/><Relationship Id="rId5" Type="http://schemas.openxmlformats.org/officeDocument/2006/relationships/hyperlink" Target="https://www.bricoma.ma/conservado-impermeabilisation-incolore-pour-la-protection-des-facades-7.html" TargetMode="External"/><Relationship Id="rId6" Type="http://schemas.openxmlformats.org/officeDocument/2006/relationships/hyperlink" Target="https://www.bricop.ma/sika-monotop-411-rm-s25kg-maroc/" TargetMode="External"/><Relationship Id="rId7" Type="http://schemas.openxmlformats.org/officeDocument/2006/relationships/hyperlink" Target="https://www.bricoma.ma/sikaflex-pro-3-concrete-grey-c300ml.html" TargetMode="External"/><Relationship Id="rId8" Type="http://schemas.openxmlformats.org/officeDocument/2006/relationships/hyperlink" Target="https://www.bricop.ma/sika-sikaflex-pro-3-beton-gris-c300-ml-maroc/" TargetMode="External"/><Relationship Id="rId9" Type="http://schemas.openxmlformats.org/officeDocument/2006/relationships/hyperlink" Target="https://www.bricoma.ma/sikacrete-ucs-m-kit-3kg-1.html" TargetMode="External"/><Relationship Id="rId10" Type="http://schemas.openxmlformats.org/officeDocument/2006/relationships/hyperlink" Target="https://www.bricop.ma/sika-sika-decoffrage-protection-des-coffrages-bois-1-20-bidon-5l-maroc/" TargetMode="External"/><Relationship Id="rId11" Type="http://schemas.openxmlformats.org/officeDocument/2006/relationships/hyperlink" Target="https://www.bricoma.ma/conservado-impermeabilisation-incolore-pour-la-protection-des-facades.html" TargetMode="External"/><Relationship Id="rId12" Type="http://schemas.openxmlformats.org/officeDocument/2006/relationships/hyperlink" Target="https://www.bricop.ma/sika-sikafill-blanc-toit-20kg-maroc/" TargetMode="External"/><Relationship Id="rId13" Type="http://schemas.openxmlformats.org/officeDocument/2006/relationships/hyperlink" Target="https://www.bricop.ma/sika-sika-mortier-rapide-seau-de-05kg-maroc/" TargetMode="External"/><Relationship Id="rId14" Type="http://schemas.openxmlformats.org/officeDocument/2006/relationships/hyperlink" Target="https://mrbricolage.ma/produit/sika-boom-p-foam-750mi/" TargetMode="External"/><Relationship Id="rId15" Type="http://schemas.openxmlformats.org/officeDocument/2006/relationships/hyperlink" Target="https://www.bricop.ma/sika-sika-boom-mousse-polyurethanne-750ml-maroc/" TargetMode="External"/><Relationship Id="rId16" Type="http://schemas.openxmlformats.org/officeDocument/2006/relationships/hyperlink" Target="https://mrbricolage.ma/produit/sikaceram-80-i-blanc-sac-25-kg/" TargetMode="External"/><Relationship Id="rId17" Type="http://schemas.openxmlformats.org/officeDocument/2006/relationships/hyperlink" Target="https://mrbricolage.ma/produit/sikaceram-80-i-gris-sac-25-kg/" TargetMode="External"/><Relationship Id="rId18" Type="http://schemas.openxmlformats.org/officeDocument/2006/relationships/hyperlink" Target="https://www.bricoma.ma/conservado-impermeabilisation-incolore-pour-la-protection-des-facades-10.html" TargetMode="External"/><Relationship Id="rId19" Type="http://schemas.openxmlformats.org/officeDocument/2006/relationships/hyperlink" Target="https://outillageaouami.com/product/sikalite-poudre-sac-1kg-sika/" TargetMode="External"/><Relationship Id="rId20" Type="http://schemas.openxmlformats.org/officeDocument/2006/relationships/hyperlink" Target="https://mrbricolage.ma/produit/conservado-5-kg/" TargetMode="External"/><Relationship Id="rId21" Type="http://schemas.openxmlformats.org/officeDocument/2006/relationships/hyperlink" Target="https://www.bricoma.ma/kit-sikatop-121.html" TargetMode="External"/><Relationship Id="rId22" Type="http://schemas.openxmlformats.org/officeDocument/2006/relationships/hyperlink" Target="https://mrbricolage.ma/produit/kit-sikatop-121-de-26-75kg-en-gris/" TargetMode="External"/><Relationship Id="rId23" Type="http://schemas.openxmlformats.org/officeDocument/2006/relationships/hyperlink" Target="https://www.bricop.ma/sika-kit-sikatop-121-maroc/" TargetMode="External"/><Relationship Id="rId24" Type="http://schemas.openxmlformats.org/officeDocument/2006/relationships/hyperlink" Target="https://outillageaouami.com/product/sikatop-121-surfacage-m-gris-26-75kg/" TargetMode="External"/><Relationship Id="rId25" Type="http://schemas.openxmlformats.org/officeDocument/2006/relationships/hyperlink" Target="https://www.bricoma.ma/kit-sikatop-122.html" TargetMode="External"/><Relationship Id="rId26" Type="http://schemas.openxmlformats.org/officeDocument/2006/relationships/hyperlink" Target="https://mrbricolage.ma/produit/kit-sika-top-122-preparation-m-35kg/" TargetMode="External"/><Relationship Id="rId27" Type="http://schemas.openxmlformats.org/officeDocument/2006/relationships/hyperlink" Target="https://www.bricop.ma/sika-kit-sikatop-122-reparation-m-maroc/" TargetMode="External"/><Relationship Id="rId28" Type="http://schemas.openxmlformats.org/officeDocument/2006/relationships/hyperlink" Target="https://www.bricoma.ma/sikagrout-212-m-sac-de-25kg-3.html" TargetMode="External"/><Relationship Id="rId29" Type="http://schemas.openxmlformats.org/officeDocument/2006/relationships/hyperlink" Target="https://www.bricop.ma/sika-sikalatex-m-flacon-de-05l-maroc/" TargetMode="External"/><Relationship Id="rId30" Type="http://schemas.openxmlformats.org/officeDocument/2006/relationships/hyperlink" Target="https://www.bricoma.ma/sikagrout-212-m-sac-de-25kg-7.html" TargetMode="External"/><Relationship Id="rId31" Type="http://schemas.openxmlformats.org/officeDocument/2006/relationships/hyperlink" Target="https://mrbricolage.ma/produit/sikalatex-j2l/" TargetMode="External"/><Relationship Id="rId32" Type="http://schemas.openxmlformats.org/officeDocument/2006/relationships/hyperlink" Target="https://www.bricop.ma/sika-flacon-sikalatex-m-2l-maroc/" TargetMode="External"/><Relationship Id="rId33" Type="http://schemas.openxmlformats.org/officeDocument/2006/relationships/hyperlink" Target="https://outillageaouami.com/product/sikalatex-m-5l-2l/" TargetMode="External"/><Relationship Id="rId34" Type="http://schemas.openxmlformats.org/officeDocument/2006/relationships/hyperlink" Target="https://www.bricoma.ma/sikatop-armatec-108-m-kit-de-5kg-3.html" TargetMode="External"/><Relationship Id="rId35" Type="http://schemas.openxmlformats.org/officeDocument/2006/relationships/hyperlink" Target="https://mrbricolage.ma/produit/sikadur-31-colle-m-k124kg/" TargetMode="External"/><Relationship Id="rId36" Type="http://schemas.openxmlformats.org/officeDocument/2006/relationships/hyperlink" Target="https://www.bricop.ma/sika-kit-sikadur-31-colle-m-1-24kg-maroc/" TargetMode="External"/><Relationship Id="rId37" Type="http://schemas.openxmlformats.org/officeDocument/2006/relationships/hyperlink" Target="https://www.bricoma.ma/sikaflex-pro11-fc-gris-cartouche-de-310ml.html" TargetMode="External"/><Relationship Id="rId38" Type="http://schemas.openxmlformats.org/officeDocument/2006/relationships/hyperlink" Target="https://mrbricolage.ma/produit/sikaflex-pro-11-fc-gris-c300ml/" TargetMode="External"/><Relationship Id="rId39" Type="http://schemas.openxmlformats.org/officeDocument/2006/relationships/hyperlink" Target="https://www.bricop.ma/sika-sikaflex-pro11-fc-gris-310ml-maroc/" TargetMode="External"/><Relationship Id="rId40" Type="http://schemas.openxmlformats.org/officeDocument/2006/relationships/hyperlink" Target="https://www.bricoma.ma/sikaflex-pro11-fc-blanc-cartouche-de-310ml.html" TargetMode="External"/><Relationship Id="rId41" Type="http://schemas.openxmlformats.org/officeDocument/2006/relationships/hyperlink" Target="https://www.bricop.ma/sika-sikaflex-pro11-fc-blanc-310ml-maroc/" TargetMode="External"/><Relationship Id="rId42" Type="http://schemas.openxmlformats.org/officeDocument/2006/relationships/hyperlink" Target="https://www.bricoma.ma/sikaflex-pro11-fc-gris-cartouche-de-310ml.html" TargetMode="External"/><Relationship Id="rId43" Type="http://schemas.openxmlformats.org/officeDocument/2006/relationships/hyperlink" Target="https://mrbricolage.ma/produit/sikaflex-pro-11-fc-gris-c300ml/" TargetMode="External"/><Relationship Id="rId44" Type="http://schemas.openxmlformats.org/officeDocument/2006/relationships/hyperlink" Target="https://www.bricop.ma/sika-sikaflex-pro11-fc-gris-310ml-maroc/" TargetMode="External"/><Relationship Id="rId45" Type="http://schemas.openxmlformats.org/officeDocument/2006/relationships/hyperlink" Target="https://www.bricoma.ma/conservado-impermeabilisation-incolore-pour-la-protection-des-facades-4.html" TargetMode="External"/><Relationship Id="rId46" Type="http://schemas.openxmlformats.org/officeDocument/2006/relationships/hyperlink" Target="https://www.bricop.ma/sika-plastifiant-hydrofuge-pour-beton-sika-poudre-sachet-maroc/" TargetMode="External"/><Relationship Id="rId47" Type="http://schemas.openxmlformats.org/officeDocument/2006/relationships/hyperlink" Target="https://outillageaouami.com/product/hydrofuge-poudre-500g-sika/" TargetMode="External"/><Relationship Id="rId48" Type="http://schemas.openxmlformats.org/officeDocument/2006/relationships/hyperlink" Target="https://www.bricoma.ma/sikaflex-112-crystal-clear-1.html" TargetMode="External"/><Relationship Id="rId49" Type="http://schemas.openxmlformats.org/officeDocument/2006/relationships/hyperlink" Target="https://mrbricolage.ma/produit/sika-anchorfix-2-300-ml/" TargetMode="External"/><Relationship Id="rId50" Type="http://schemas.openxmlformats.org/officeDocument/2006/relationships/hyperlink" Target="https://www.bricop.ma/sika-sika-ancre-fix-2-scellant-resine-cartouche-300ml-maroc/" TargetMode="External"/><Relationship Id="rId51" Type="http://schemas.openxmlformats.org/officeDocument/2006/relationships/hyperlink" Target="https://outillageaouami.com/product/sika-anchorfix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2109375" defaultRowHeight="15" zeroHeight="false" outlineLevelRow="0" outlineLevelCol="0"/>
  <cols>
    <col collapsed="false" customWidth="true" hidden="false" outlineLevel="0" max="1" min="1" style="0" width="50.84"/>
    <col collapsed="false" customWidth="true" hidden="false" outlineLevel="0" max="2" min="2" style="0" width="30.83"/>
    <col collapsed="false" customWidth="true" hidden="false" outlineLevel="0" max="3" min="3" style="0" width="28.83"/>
    <col collapsed="false" customWidth="true" hidden="false" outlineLevel="0" max="4" min="4" style="0" width="24.83"/>
    <col collapsed="false" customWidth="true" hidden="false" outlineLevel="0" max="5" min="5" style="0" width="16.83"/>
    <col collapsed="false" customWidth="true" hidden="false" outlineLevel="0" max="6" min="6" style="0" width="24.83"/>
    <col collapsed="false" customWidth="true" hidden="false" outlineLevel="0" max="7" min="7" style="0" width="10.83"/>
    <col collapsed="false" customWidth="true" hidden="false" outlineLevel="0" max="8" min="8" style="0" width="14.83"/>
    <col collapsed="false" customWidth="true" hidden="false" outlineLevel="0" max="10" min="9" style="0" width="16.83"/>
    <col collapsed="false" customWidth="true" hidden="false" outlineLevel="0" max="11" min="11" style="0" width="22.84"/>
    <col collapsed="false" customWidth="true" hidden="false" outlineLevel="0" max="12" min="12" style="0" width="11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5" min="15" style="0" width="12"/>
    <col collapsed="false" customWidth="true" hidden="false" outlineLevel="0" max="16" min="16" style="0" width="11"/>
    <col collapsed="false" customWidth="true" hidden="false" outlineLevel="0" max="17" min="17" style="0" width="12"/>
    <col collapsed="false" customWidth="true" hidden="false" outlineLevel="0" max="18" min="18" style="0" width="11"/>
    <col collapsed="false" customWidth="true" hidden="false" outlineLevel="0" max="19" min="19" style="0" width="12"/>
    <col collapsed="false" customWidth="true" hidden="false" outlineLevel="0" max="20" min="20" style="0" width="8"/>
    <col collapsed="false" customWidth="true" hidden="false" outlineLevel="0" max="21" min="21" style="0" width="14"/>
    <col collapsed="false" customWidth="true" hidden="false" outlineLevel="0" max="22" min="22" style="0" width="24"/>
    <col collapsed="false" customWidth="true" hidden="false" outlineLevel="0" max="23" min="23" style="0" width="13"/>
    <col collapsed="false" customWidth="true" hidden="false" outlineLevel="0" max="24" min="24" style="0" width="9"/>
    <col collapsed="false" customWidth="true" hidden="false" outlineLevel="0" max="25" min="25" style="0" width="60"/>
  </cols>
  <sheetData>
    <row r="1" customFormat="false" ht="31.5" hidden="false" customHeight="tru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0" t="s">
        <v>25</v>
      </c>
      <c r="C2" s="0" t="s">
        <v>26</v>
      </c>
      <c r="D2" s="0" t="s">
        <v>27</v>
      </c>
      <c r="E2" s="0" t="s">
        <v>28</v>
      </c>
      <c r="G2" s="0" t="s">
        <v>29</v>
      </c>
      <c r="H2" s="0" t="n">
        <v>2</v>
      </c>
      <c r="I2" s="0" t="n">
        <v>280</v>
      </c>
      <c r="J2" s="0" t="n">
        <v>260</v>
      </c>
      <c r="K2" s="0" t="s">
        <v>29</v>
      </c>
      <c r="P2" s="2" t="n">
        <v>209</v>
      </c>
      <c r="Q2" s="3" t="s">
        <v>30</v>
      </c>
      <c r="T2" s="4" t="n">
        <f aca="false">COUNT(L2,N2,P2,R2)</f>
        <v>1</v>
      </c>
      <c r="U2" s="5" t="n">
        <f aca="false">IF(T2=0,"Non trouvé",IFERROR(MODE(L2,N2,P2,R2),MEDIAN(L2,N2,P2,R2)))</f>
        <v>209</v>
      </c>
      <c r="V2" s="0" t="str">
        <f aca="false">IF(T2=0,"Non trouvé",IF(T2=1,"Source unique",IF(ISNUMBER(MODE(L2,N2,P2,R2)),"Prix le plus fréquent","Aucun prix répété : médiane")))</f>
        <v>Source unique</v>
      </c>
      <c r="W2" s="6" t="n">
        <f aca="false">IF(ISNUMBER(U2),I2-U2,"")</f>
        <v>71</v>
      </c>
      <c r="X2" s="7" t="n">
        <f aca="false">IF(ISNUMBER(U2),I2/U2-1,"")</f>
        <v>0.339712918660287</v>
      </c>
      <c r="Y2" s="4" t="s">
        <v>31</v>
      </c>
    </row>
    <row r="3" customFormat="false" ht="15" hidden="false" customHeight="false" outlineLevel="0" collapsed="false">
      <c r="A3" s="0" t="s">
        <v>32</v>
      </c>
      <c r="C3" s="0" t="s">
        <v>26</v>
      </c>
      <c r="D3" s="0" t="s">
        <v>27</v>
      </c>
      <c r="E3" s="0" t="s">
        <v>33</v>
      </c>
      <c r="G3" s="0" t="s">
        <v>29</v>
      </c>
      <c r="H3" s="0" t="n">
        <v>38</v>
      </c>
      <c r="I3" s="0" t="n">
        <v>250</v>
      </c>
      <c r="J3" s="0" t="n">
        <v>230</v>
      </c>
      <c r="K3" s="0" t="s">
        <v>29</v>
      </c>
      <c r="L3" s="2" t="n">
        <v>185</v>
      </c>
      <c r="M3" s="3" t="s">
        <v>30</v>
      </c>
      <c r="N3" s="2" t="n">
        <v>185</v>
      </c>
      <c r="O3" s="3" t="s">
        <v>30</v>
      </c>
      <c r="P3" s="2" t="n">
        <v>195</v>
      </c>
      <c r="Q3" s="3" t="s">
        <v>30</v>
      </c>
      <c r="T3" s="4" t="n">
        <f aca="false">COUNT(L3,N3,P3,R3)</f>
        <v>3</v>
      </c>
      <c r="U3" s="5" t="n">
        <f aca="false">IF(T3=0,"Non trouvé",IFERROR(MODE(L3,N3,P3,R3),MEDIAN(L3,N3,P3,R3)))</f>
        <v>185</v>
      </c>
      <c r="V3" s="0" t="str">
        <f aca="false">IF(T3=0,"Non trouvé",IF(T3=1,"Source unique",IF(ISNUMBER(MODE(L3,N3,P3,R3)),"Prix le plus fréquent","Aucun prix répété : médiane")))</f>
        <v>Prix le plus fréquent</v>
      </c>
      <c r="W3" s="6" t="n">
        <f aca="false">IF(ISNUMBER(U3),I3-U3,"")</f>
        <v>65</v>
      </c>
      <c r="X3" s="7" t="n">
        <f aca="false">IF(ISNUMBER(U3),I3/U3-1,"")</f>
        <v>0.351351351351351</v>
      </c>
    </row>
    <row r="4" customFormat="false" ht="15" hidden="false" customHeight="false" outlineLevel="0" collapsed="false">
      <c r="A4" s="0" t="s">
        <v>34</v>
      </c>
      <c r="C4" s="0" t="s">
        <v>26</v>
      </c>
      <c r="D4" s="0" t="s">
        <v>27</v>
      </c>
      <c r="E4" s="0" t="s">
        <v>35</v>
      </c>
      <c r="G4" s="0" t="s">
        <v>29</v>
      </c>
      <c r="H4" s="0" t="n">
        <v>2</v>
      </c>
      <c r="I4" s="0" t="n">
        <v>515</v>
      </c>
      <c r="J4" s="0" t="n">
        <v>500</v>
      </c>
      <c r="K4" s="0" t="s">
        <v>29</v>
      </c>
      <c r="L4" s="2" t="n">
        <v>515</v>
      </c>
      <c r="M4" s="3" t="s">
        <v>30</v>
      </c>
      <c r="P4" s="2" t="n">
        <v>515</v>
      </c>
      <c r="Q4" s="3" t="s">
        <v>30</v>
      </c>
      <c r="T4" s="4" t="n">
        <f aca="false">COUNT(L4,N4,P4,R4)</f>
        <v>2</v>
      </c>
      <c r="U4" s="5" t="n">
        <f aca="false">IF(T4=0,"Non trouvé",IFERROR(MODE(L4,N4,P4,R4),MEDIAN(L4,N4,P4,R4)))</f>
        <v>515</v>
      </c>
      <c r="V4" s="0" t="str">
        <f aca="false">IF(T4=0,"Non trouvé",IF(T4=1,"Source unique",IF(ISNUMBER(MODE(L4,N4,P4,R4)),"Prix le plus fréquent","Aucun prix répété : médiane")))</f>
        <v>Prix le plus fréquent</v>
      </c>
      <c r="W4" s="6" t="n">
        <f aca="false">IF(ISNUMBER(U4),I4-U4,"")</f>
        <v>0</v>
      </c>
      <c r="X4" s="7" t="n">
        <f aca="false">IF(ISNUMBER(U4),I4/U4-1,"")</f>
        <v>0</v>
      </c>
    </row>
    <row r="5" customFormat="false" ht="15" hidden="false" customHeight="false" outlineLevel="0" collapsed="false">
      <c r="A5" s="0" t="s">
        <v>36</v>
      </c>
      <c r="C5" s="0" t="s">
        <v>37</v>
      </c>
      <c r="D5" s="0" t="s">
        <v>27</v>
      </c>
      <c r="E5" s="0" t="s">
        <v>38</v>
      </c>
      <c r="G5" s="0" t="s">
        <v>29</v>
      </c>
      <c r="H5" s="0" t="n">
        <v>0</v>
      </c>
      <c r="I5" s="0" t="n">
        <v>120</v>
      </c>
      <c r="J5" s="0" t="n">
        <v>110</v>
      </c>
      <c r="K5" s="0" t="s">
        <v>29</v>
      </c>
      <c r="L5" s="2" t="n">
        <v>105</v>
      </c>
      <c r="M5" s="3" t="s">
        <v>30</v>
      </c>
      <c r="P5" s="2" t="n">
        <v>99</v>
      </c>
      <c r="Q5" s="3" t="s">
        <v>30</v>
      </c>
      <c r="T5" s="4" t="n">
        <f aca="false">COUNT(L5,N5,P5,R5)</f>
        <v>2</v>
      </c>
      <c r="U5" s="5" t="n">
        <f aca="false">IF(T5=0,"Non trouvé",IFERROR(MODE(L5,N5,P5,R5),MEDIAN(L5,N5,P5,R5)))</f>
        <v>102</v>
      </c>
      <c r="V5" s="0" t="str">
        <f aca="false">IF(T5=0,"Non trouvé",IF(T5=1,"Source unique",IF(ISNUMBER(MODE(L5,N5,P5,R5)),"Prix le plus fréquent","Aucun prix répété : médiane")))</f>
        <v>Aucun prix répété : médiane</v>
      </c>
      <c r="W5" s="6" t="n">
        <f aca="false">IF(ISNUMBER(U5),I5-U5,"")</f>
        <v>18</v>
      </c>
      <c r="X5" s="7" t="n">
        <f aca="false">IF(ISNUMBER(U5),I5/U5-1,"")</f>
        <v>0.176470588235294</v>
      </c>
    </row>
    <row r="6" customFormat="false" ht="15" hidden="false" customHeight="false" outlineLevel="0" collapsed="false">
      <c r="A6" s="0" t="s">
        <v>39</v>
      </c>
      <c r="C6" s="0" t="s">
        <v>26</v>
      </c>
      <c r="D6" s="0" t="s">
        <v>27</v>
      </c>
      <c r="E6" s="0" t="s">
        <v>40</v>
      </c>
      <c r="G6" s="0" t="s">
        <v>29</v>
      </c>
      <c r="H6" s="0" t="n">
        <v>0</v>
      </c>
      <c r="I6" s="0" t="n">
        <v>500</v>
      </c>
      <c r="J6" s="0" t="n">
        <v>550</v>
      </c>
      <c r="K6" s="0" t="s">
        <v>29</v>
      </c>
      <c r="L6" s="2" t="n">
        <v>579</v>
      </c>
      <c r="M6" s="3" t="s">
        <v>30</v>
      </c>
      <c r="P6" s="2" t="n">
        <v>599</v>
      </c>
      <c r="Q6" s="3" t="s">
        <v>30</v>
      </c>
      <c r="T6" s="4" t="n">
        <f aca="false">COUNT(L6,N6,P6,R6)</f>
        <v>2</v>
      </c>
      <c r="U6" s="5" t="n">
        <f aca="false">IF(T6=0,"Non trouvé",IFERROR(MODE(L6,N6,P6,R6),MEDIAN(L6,N6,P6,R6)))</f>
        <v>589</v>
      </c>
      <c r="V6" s="0" t="str">
        <f aca="false">IF(T6=0,"Non trouvé",IF(T6=1,"Source unique",IF(ISNUMBER(MODE(L6,N6,P6,R6)),"Prix le plus fréquent","Aucun prix répété : médiane")))</f>
        <v>Aucun prix répété : médiane</v>
      </c>
      <c r="W6" s="6" t="n">
        <f aca="false">IF(ISNUMBER(U6),I6-U6,"")</f>
        <v>-89</v>
      </c>
      <c r="X6" s="7" t="n">
        <f aca="false">IF(ISNUMBER(U6),I6/U6-1,"")</f>
        <v>-0.151103565365025</v>
      </c>
    </row>
    <row r="7" customFormat="false" ht="15" hidden="false" customHeight="false" outlineLevel="0" collapsed="false">
      <c r="A7" s="0" t="s">
        <v>41</v>
      </c>
      <c r="C7" s="0" t="s">
        <v>42</v>
      </c>
      <c r="D7" s="0" t="s">
        <v>27</v>
      </c>
      <c r="E7" s="0" t="s">
        <v>43</v>
      </c>
      <c r="G7" s="0" t="s">
        <v>29</v>
      </c>
      <c r="H7" s="0" t="n">
        <v>1</v>
      </c>
      <c r="I7" s="0" t="n">
        <v>160</v>
      </c>
      <c r="J7" s="0" t="n">
        <v>150</v>
      </c>
      <c r="K7" s="0" t="s">
        <v>29</v>
      </c>
      <c r="T7" s="0" t="n">
        <f aca="false">COUNT(L7,N7,P7,R7)</f>
        <v>0</v>
      </c>
      <c r="U7" s="5" t="str">
        <f aca="false">IF(T7=0,"Non trouvé",IFERROR(MODE(L7,N7,P7,R7),MEDIAN(L7,N7,P7,R7)))</f>
        <v>Non trouvé</v>
      </c>
      <c r="V7" s="0" t="str">
        <f aca="false">IF(T7=0,"Non trouvé",IF(T7=1,"Source unique",IF(ISNUMBER(MODE(L7,N7,P7,R7)),"Prix le plus fréquent","Aucun prix répété : médiane")))</f>
        <v>Non trouvé</v>
      </c>
      <c r="W7" s="6" t="str">
        <f aca="false">IF(ISNUMBER(U7),I7-U7,"")</f>
        <v/>
      </c>
      <c r="X7" s="7" t="str">
        <f aca="false">IF(ISNUMBER(U7),I7/U7-1,"")</f>
        <v/>
      </c>
      <c r="Y7" s="4" t="s">
        <v>44</v>
      </c>
    </row>
    <row r="8" customFormat="false" ht="15" hidden="false" customHeight="false" outlineLevel="0" collapsed="false">
      <c r="A8" s="0" t="s">
        <v>45</v>
      </c>
      <c r="C8" s="0" t="s">
        <v>26</v>
      </c>
      <c r="D8" s="0" t="s">
        <v>27</v>
      </c>
      <c r="E8" s="0" t="s">
        <v>46</v>
      </c>
      <c r="G8" s="0" t="s">
        <v>29</v>
      </c>
      <c r="H8" s="0" t="n">
        <v>64</v>
      </c>
      <c r="I8" s="0" t="n">
        <v>25</v>
      </c>
      <c r="J8" s="0" t="n">
        <v>23</v>
      </c>
      <c r="K8" s="0" t="s">
        <v>29</v>
      </c>
      <c r="T8" s="0" t="n">
        <f aca="false">COUNT(L8,N8,P8,R8)</f>
        <v>0</v>
      </c>
      <c r="U8" s="5" t="str">
        <f aca="false">IF(T8=0,"Non trouvé",IFERROR(MODE(L8,N8,P8,R8),MEDIAN(L8,N8,P8,R8)))</f>
        <v>Non trouvé</v>
      </c>
      <c r="V8" s="0" t="str">
        <f aca="false">IF(T8=0,"Non trouvé",IF(T8=1,"Source unique",IF(ISNUMBER(MODE(L8,N8,P8,R8)),"Prix le plus fréquent","Aucun prix répété : médiane")))</f>
        <v>Non trouvé</v>
      </c>
      <c r="W8" s="6" t="str">
        <f aca="false">IF(ISNUMBER(U8),I8-U8,"")</f>
        <v/>
      </c>
      <c r="X8" s="7" t="str">
        <f aca="false">IF(ISNUMBER(U8),I8/U8-1,"")</f>
        <v/>
      </c>
      <c r="Y8" s="4" t="s">
        <v>47</v>
      </c>
    </row>
    <row r="9" customFormat="false" ht="15" hidden="false" customHeight="false" outlineLevel="0" collapsed="false">
      <c r="A9" s="0" t="s">
        <v>48</v>
      </c>
      <c r="C9" s="0" t="s">
        <v>26</v>
      </c>
      <c r="D9" s="0" t="s">
        <v>27</v>
      </c>
      <c r="E9" s="0" t="s">
        <v>49</v>
      </c>
      <c r="G9" s="0" t="s">
        <v>29</v>
      </c>
      <c r="H9" s="0" t="n">
        <v>0</v>
      </c>
      <c r="I9" s="0" t="n">
        <v>750</v>
      </c>
      <c r="J9" s="0" t="n">
        <v>700</v>
      </c>
      <c r="K9" s="0" t="s">
        <v>29</v>
      </c>
      <c r="L9" s="2" t="n">
        <v>749</v>
      </c>
      <c r="M9" s="3" t="s">
        <v>30</v>
      </c>
      <c r="T9" s="4" t="n">
        <f aca="false">COUNT(L9,N9,P9,R9)</f>
        <v>1</v>
      </c>
      <c r="U9" s="5" t="n">
        <f aca="false">IF(T9=0,"Non trouvé",IFERROR(MODE(L9,N9,P9,R9),MEDIAN(L9,N9,P9,R9)))</f>
        <v>749</v>
      </c>
      <c r="V9" s="0" t="str">
        <f aca="false">IF(T9=0,"Non trouvé",IF(T9=1,"Source unique",IF(ISNUMBER(MODE(L9,N9,P9,R9)),"Prix le plus fréquent","Aucun prix répété : médiane")))</f>
        <v>Source unique</v>
      </c>
      <c r="W9" s="6" t="n">
        <f aca="false">IF(ISNUMBER(U9),I9-U9,"")</f>
        <v>1</v>
      </c>
      <c r="X9" s="7" t="n">
        <f aca="false">IF(ISNUMBER(U9),I9/U9-1,"")</f>
        <v>0.00133511348464621</v>
      </c>
      <c r="Y9" s="4" t="s">
        <v>50</v>
      </c>
    </row>
    <row r="10" customFormat="false" ht="15" hidden="false" customHeight="false" outlineLevel="0" collapsed="false">
      <c r="A10" s="0" t="s">
        <v>51</v>
      </c>
      <c r="C10" s="0" t="s">
        <v>26</v>
      </c>
      <c r="D10" s="0" t="s">
        <v>27</v>
      </c>
      <c r="E10" s="0" t="s">
        <v>52</v>
      </c>
      <c r="G10" s="0" t="s">
        <v>29</v>
      </c>
      <c r="H10" s="0" t="n">
        <v>0</v>
      </c>
      <c r="I10" s="0" t="n">
        <v>650</v>
      </c>
      <c r="J10" s="0" t="n">
        <v>600</v>
      </c>
      <c r="K10" s="0" t="s">
        <v>29</v>
      </c>
      <c r="P10" s="2" t="n">
        <v>795</v>
      </c>
      <c r="Q10" s="3" t="s">
        <v>30</v>
      </c>
      <c r="T10" s="4" t="n">
        <f aca="false">COUNT(L10,N10,P10,R10)</f>
        <v>1</v>
      </c>
      <c r="U10" s="5" t="n">
        <f aca="false">IF(T10=0,"Non trouvé",IFERROR(MODE(L10,N10,P10,R10),MEDIAN(L10,N10,P10,R10)))</f>
        <v>795</v>
      </c>
      <c r="V10" s="0" t="str">
        <f aca="false">IF(T10=0,"Non trouvé",IF(T10=1,"Source unique",IF(ISNUMBER(MODE(L10,N10,P10,R10)),"Prix le plus fréquent","Aucun prix répété : médiane")))</f>
        <v>Source unique</v>
      </c>
      <c r="W10" s="6" t="n">
        <f aca="false">IF(ISNUMBER(U10),I10-U10,"")</f>
        <v>-145</v>
      </c>
      <c r="X10" s="7" t="n">
        <f aca="false">IF(ISNUMBER(U10),I10/U10-1,"")</f>
        <v>-0.182389937106918</v>
      </c>
      <c r="Y10" s="4" t="s">
        <v>53</v>
      </c>
    </row>
    <row r="11" customFormat="false" ht="15" hidden="false" customHeight="false" outlineLevel="0" collapsed="false">
      <c r="A11" s="0" t="s">
        <v>54</v>
      </c>
      <c r="C11" s="0" t="s">
        <v>26</v>
      </c>
      <c r="D11" s="0" t="s">
        <v>27</v>
      </c>
      <c r="E11" s="0" t="s">
        <v>55</v>
      </c>
      <c r="G11" s="0" t="s">
        <v>29</v>
      </c>
      <c r="H11" s="0" t="n">
        <v>16</v>
      </c>
      <c r="I11" s="0" t="n">
        <v>350</v>
      </c>
      <c r="J11" s="0" t="n">
        <v>340</v>
      </c>
      <c r="K11" s="0" t="s">
        <v>29</v>
      </c>
      <c r="P11" s="2" t="n">
        <v>345</v>
      </c>
      <c r="Q11" s="3" t="s">
        <v>30</v>
      </c>
      <c r="T11" s="4" t="n">
        <f aca="false">COUNT(L11,N11,P11,R11)</f>
        <v>1</v>
      </c>
      <c r="U11" s="5" t="n">
        <f aca="false">IF(T11=0,"Non trouvé",IFERROR(MODE(L11,N11,P11,R11),MEDIAN(L11,N11,P11,R11)))</f>
        <v>345</v>
      </c>
      <c r="V11" s="0" t="str">
        <f aca="false">IF(T11=0,"Non trouvé",IF(T11=1,"Source unique",IF(ISNUMBER(MODE(L11,N11,P11,R11)),"Prix le plus fréquent","Aucun prix répété : médiane")))</f>
        <v>Source unique</v>
      </c>
      <c r="W11" s="6" t="n">
        <f aca="false">IF(ISNUMBER(U11),I11-U11,"")</f>
        <v>5</v>
      </c>
      <c r="X11" s="7" t="n">
        <f aca="false">IF(ISNUMBER(U11),I11/U11-1,"")</f>
        <v>0.0144927536231885</v>
      </c>
      <c r="Y11" s="4" t="s">
        <v>56</v>
      </c>
    </row>
    <row r="12" customFormat="false" ht="15" hidden="false" customHeight="false" outlineLevel="0" collapsed="false">
      <c r="A12" s="0" t="s">
        <v>57</v>
      </c>
      <c r="C12" s="0" t="s">
        <v>26</v>
      </c>
      <c r="D12" s="0" t="s">
        <v>27</v>
      </c>
      <c r="E12" s="0" t="s">
        <v>58</v>
      </c>
      <c r="G12" s="0" t="s">
        <v>29</v>
      </c>
      <c r="H12" s="0" t="n">
        <v>42</v>
      </c>
      <c r="I12" s="0" t="n">
        <v>80</v>
      </c>
      <c r="J12" s="0" t="n">
        <v>75</v>
      </c>
      <c r="K12" s="0" t="s">
        <v>29</v>
      </c>
      <c r="N12" s="2" t="n">
        <v>60</v>
      </c>
      <c r="O12" s="3" t="s">
        <v>30</v>
      </c>
      <c r="P12" s="2" t="n">
        <v>79</v>
      </c>
      <c r="Q12" s="3" t="s">
        <v>30</v>
      </c>
      <c r="T12" s="4" t="n">
        <f aca="false">COUNT(L12,N12,P12,R12)</f>
        <v>2</v>
      </c>
      <c r="U12" s="5" t="n">
        <f aca="false">IF(T12=0,"Non trouvé",IFERROR(MODE(L12,N12,P12,R12),MEDIAN(L12,N12,P12,R12)))</f>
        <v>69.5</v>
      </c>
      <c r="V12" s="0" t="str">
        <f aca="false">IF(T12=0,"Non trouvé",IF(T12=1,"Source unique",IF(ISNUMBER(MODE(L12,N12,P12,R12)),"Prix le plus fréquent","Aucun prix répété : médiane")))</f>
        <v>Aucun prix répété : médiane</v>
      </c>
      <c r="W12" s="6" t="n">
        <f aca="false">IF(ISNUMBER(U12),I12-U12,"")</f>
        <v>10.5</v>
      </c>
      <c r="X12" s="7" t="n">
        <f aca="false">IF(ISNUMBER(U12),I12/U12-1,"")</f>
        <v>0.151079136690647</v>
      </c>
      <c r="Y12" s="4" t="s">
        <v>59</v>
      </c>
    </row>
    <row r="13" customFormat="false" ht="15" hidden="false" customHeight="false" outlineLevel="0" collapsed="false">
      <c r="A13" s="0" t="s">
        <v>60</v>
      </c>
      <c r="C13" s="0" t="s">
        <v>61</v>
      </c>
      <c r="D13" s="0" t="s">
        <v>27</v>
      </c>
      <c r="E13" s="0" t="s">
        <v>62</v>
      </c>
      <c r="G13" s="0" t="s">
        <v>29</v>
      </c>
      <c r="H13" s="0" t="n">
        <v>3851</v>
      </c>
      <c r="I13" s="0" t="n">
        <v>60</v>
      </c>
      <c r="J13" s="0" t="n">
        <v>55</v>
      </c>
      <c r="K13" s="0" t="s">
        <v>29</v>
      </c>
      <c r="N13" s="2" t="n">
        <v>49.9</v>
      </c>
      <c r="O13" s="3" t="s">
        <v>30</v>
      </c>
      <c r="T13" s="4" t="n">
        <f aca="false">COUNT(L13,N13,P13,R13)</f>
        <v>1</v>
      </c>
      <c r="U13" s="5" t="n">
        <f aca="false">IF(T13=0,"Non trouvé",IFERROR(MODE(L13,N13,P13,R13),MEDIAN(L13,N13,P13,R13)))</f>
        <v>49.9</v>
      </c>
      <c r="V13" s="0" t="str">
        <f aca="false">IF(T13=0,"Non trouvé",IF(T13=1,"Source unique",IF(ISNUMBER(MODE(L13,N13,P13,R13)),"Prix le plus fréquent","Aucun prix répété : médiane")))</f>
        <v>Source unique</v>
      </c>
      <c r="W13" s="6" t="n">
        <f aca="false">IF(ISNUMBER(U13),I13-U13,"")</f>
        <v>10.1</v>
      </c>
      <c r="X13" s="7" t="n">
        <f aca="false">IF(ISNUMBER(U13),I13/U13-1,"")</f>
        <v>0.202404809619239</v>
      </c>
    </row>
    <row r="14" customFormat="false" ht="15" hidden="false" customHeight="false" outlineLevel="0" collapsed="false">
      <c r="A14" s="0" t="s">
        <v>63</v>
      </c>
      <c r="C14" s="0" t="s">
        <v>61</v>
      </c>
      <c r="D14" s="0" t="s">
        <v>27</v>
      </c>
      <c r="E14" s="0" t="s">
        <v>64</v>
      </c>
      <c r="G14" s="0" t="s">
        <v>29</v>
      </c>
      <c r="H14" s="0" t="n">
        <v>5310</v>
      </c>
      <c r="I14" s="0" t="n">
        <v>38</v>
      </c>
      <c r="J14" s="0" t="n">
        <v>45</v>
      </c>
      <c r="K14" s="0" t="s">
        <v>29</v>
      </c>
      <c r="T14" s="0" t="n">
        <f aca="false">COUNT(L14,N14,P14,R14)</f>
        <v>0</v>
      </c>
      <c r="U14" s="5" t="str">
        <f aca="false">IF(T14=0,"Non trouvé",IFERROR(MODE(L14,N14,P14,R14),MEDIAN(L14,N14,P14,R14)))</f>
        <v>Non trouvé</v>
      </c>
      <c r="V14" s="0" t="str">
        <f aca="false">IF(T14=0,"Non trouvé",IF(T14=1,"Source unique",IF(ISNUMBER(MODE(L14,N14,P14,R14)),"Prix le plus fréquent","Aucun prix répété : médiane")))</f>
        <v>Non trouvé</v>
      </c>
      <c r="W14" s="6" t="str">
        <f aca="false">IF(ISNUMBER(U14),I14-U14,"")</f>
        <v/>
      </c>
      <c r="X14" s="7" t="str">
        <f aca="false">IF(ISNUMBER(U14),I14/U14-1,"")</f>
        <v/>
      </c>
      <c r="Y14" s="4" t="s">
        <v>47</v>
      </c>
    </row>
    <row r="15" customFormat="false" ht="15" hidden="false" customHeight="false" outlineLevel="0" collapsed="false">
      <c r="A15" s="0" t="s">
        <v>65</v>
      </c>
      <c r="C15" s="0" t="s">
        <v>61</v>
      </c>
      <c r="D15" s="0" t="s">
        <v>27</v>
      </c>
      <c r="E15" s="0" t="s">
        <v>66</v>
      </c>
      <c r="G15" s="0" t="s">
        <v>29</v>
      </c>
      <c r="H15" s="0" t="n">
        <v>685</v>
      </c>
      <c r="I15" s="0" t="n">
        <v>120</v>
      </c>
      <c r="J15" s="0" t="n">
        <v>110</v>
      </c>
      <c r="K15" s="0" t="s">
        <v>29</v>
      </c>
      <c r="T15" s="0" t="n">
        <f aca="false">COUNT(L15,N15,P15,R15)</f>
        <v>0</v>
      </c>
      <c r="U15" s="5" t="str">
        <f aca="false">IF(T15=0,"Non trouvé",IFERROR(MODE(L15,N15,P15,R15),MEDIAN(L15,N15,P15,R15)))</f>
        <v>Non trouvé</v>
      </c>
      <c r="V15" s="0" t="str">
        <f aca="false">IF(T15=0,"Non trouvé",IF(T15=1,"Source unique",IF(ISNUMBER(MODE(L15,N15,P15,R15)),"Prix le plus fréquent","Aucun prix répété : médiane")))</f>
        <v>Non trouvé</v>
      </c>
      <c r="W15" s="6" t="str">
        <f aca="false">IF(ISNUMBER(U15),I15-U15,"")</f>
        <v/>
      </c>
      <c r="X15" s="7" t="str">
        <f aca="false">IF(ISNUMBER(U15),I15/U15-1,"")</f>
        <v/>
      </c>
      <c r="Y15" s="4" t="s">
        <v>67</v>
      </c>
    </row>
    <row r="16" customFormat="false" ht="15" hidden="false" customHeight="false" outlineLevel="0" collapsed="false">
      <c r="A16" s="0" t="s">
        <v>68</v>
      </c>
      <c r="C16" s="0" t="s">
        <v>61</v>
      </c>
      <c r="D16" s="0" t="s">
        <v>27</v>
      </c>
      <c r="E16" s="0" t="s">
        <v>69</v>
      </c>
      <c r="G16" s="0" t="s">
        <v>29</v>
      </c>
      <c r="H16" s="0" t="n">
        <v>2</v>
      </c>
      <c r="I16" s="0" t="n">
        <v>55</v>
      </c>
      <c r="J16" s="0" t="n">
        <v>50</v>
      </c>
      <c r="K16" s="0" t="s">
        <v>29</v>
      </c>
      <c r="N16" s="2" t="n">
        <v>37.9</v>
      </c>
      <c r="O16" s="3" t="s">
        <v>30</v>
      </c>
      <c r="T16" s="4" t="n">
        <f aca="false">COUNT(L16,N16,P16,R16)</f>
        <v>1</v>
      </c>
      <c r="U16" s="5" t="n">
        <f aca="false">IF(T16=0,"Non trouvé",IFERROR(MODE(L16,N16,P16,R16),MEDIAN(L16,N16,P16,R16)))</f>
        <v>37.9</v>
      </c>
      <c r="V16" s="0" t="str">
        <f aca="false">IF(T16=0,"Non trouvé",IF(T16=1,"Source unique",IF(ISNUMBER(MODE(L16,N16,P16,R16)),"Prix le plus fréquent","Aucun prix répété : médiane")))</f>
        <v>Source unique</v>
      </c>
      <c r="W16" s="6" t="n">
        <f aca="false">IF(ISNUMBER(U16),I16-U16,"")</f>
        <v>17.1</v>
      </c>
      <c r="X16" s="7" t="n">
        <f aca="false">IF(ISNUMBER(U16),I16/U16-1,"")</f>
        <v>0.451187335092348</v>
      </c>
    </row>
    <row r="17" customFormat="false" ht="15" hidden="false" customHeight="false" outlineLevel="0" collapsed="false">
      <c r="A17" s="0" t="s">
        <v>70</v>
      </c>
      <c r="C17" s="0" t="s">
        <v>71</v>
      </c>
      <c r="E17" s="0" t="s">
        <v>72</v>
      </c>
      <c r="G17" s="0" t="s">
        <v>29</v>
      </c>
      <c r="H17" s="0" t="n">
        <v>3077</v>
      </c>
      <c r="I17" s="0" t="n">
        <v>40</v>
      </c>
      <c r="J17" s="0" t="n">
        <v>35</v>
      </c>
      <c r="K17" s="0" t="s">
        <v>29</v>
      </c>
      <c r="L17" s="2" t="n">
        <v>29.9</v>
      </c>
      <c r="M17" s="3" t="s">
        <v>30</v>
      </c>
      <c r="R17" s="2" t="n">
        <v>32</v>
      </c>
      <c r="S17" s="3" t="s">
        <v>30</v>
      </c>
      <c r="T17" s="4" t="n">
        <f aca="false">COUNT(L17,N17,P17,R17)</f>
        <v>2</v>
      </c>
      <c r="U17" s="5" t="n">
        <f aca="false">IF(T17=0,"Non trouvé",IFERROR(MODE(L17,N17,P17,R17),MEDIAN(L17,N17,P17,R17)))</f>
        <v>30.95</v>
      </c>
      <c r="V17" s="0" t="str">
        <f aca="false">IF(T17=0,"Non trouvé",IF(T17=1,"Source unique",IF(ISNUMBER(MODE(L17,N17,P17,R17)),"Prix le plus fréquent","Aucun prix répété : médiane")))</f>
        <v>Aucun prix répété : médiane</v>
      </c>
      <c r="W17" s="6" t="n">
        <f aca="false">IF(ISNUMBER(U17),I17-U17,"")</f>
        <v>9.05</v>
      </c>
      <c r="X17" s="7" t="n">
        <f aca="false">IF(ISNUMBER(U17),I17/U17-1,"")</f>
        <v>0.292407108239095</v>
      </c>
      <c r="Y17" s="4" t="s">
        <v>73</v>
      </c>
    </row>
    <row r="18" customFormat="false" ht="15" hidden="false" customHeight="false" outlineLevel="0" collapsed="false">
      <c r="A18" s="0" t="s">
        <v>74</v>
      </c>
      <c r="C18" s="0" t="s">
        <v>26</v>
      </c>
      <c r="D18" s="0" t="s">
        <v>27</v>
      </c>
      <c r="E18" s="0" t="s">
        <v>75</v>
      </c>
      <c r="G18" s="0" t="s">
        <v>29</v>
      </c>
      <c r="H18" s="0" t="n">
        <v>1</v>
      </c>
      <c r="I18" s="0" t="n">
        <v>150</v>
      </c>
      <c r="J18" s="0" t="n">
        <v>140</v>
      </c>
      <c r="K18" s="0" t="s">
        <v>29</v>
      </c>
      <c r="N18" s="2" t="n">
        <v>155</v>
      </c>
      <c r="O18" s="3" t="s">
        <v>30</v>
      </c>
      <c r="T18" s="4" t="n">
        <f aca="false">COUNT(L18,N18,P18,R18)</f>
        <v>1</v>
      </c>
      <c r="U18" s="5" t="n">
        <f aca="false">IF(T18=0,"Non trouvé",IFERROR(MODE(L18,N18,P18,R18),MEDIAN(L18,N18,P18,R18)))</f>
        <v>155</v>
      </c>
      <c r="V18" s="0" t="str">
        <f aca="false">IF(T18=0,"Non trouvé",IF(T18=1,"Source unique",IF(ISNUMBER(MODE(L18,N18,P18,R18)),"Prix le plus fréquent","Aucun prix répété : médiane")))</f>
        <v>Source unique</v>
      </c>
      <c r="W18" s="6" t="n">
        <f aca="false">IF(ISNUMBER(U18),I18-U18,"")</f>
        <v>-5</v>
      </c>
      <c r="X18" s="7" t="n">
        <f aca="false">IF(ISNUMBER(U18),I18/U18-1,"")</f>
        <v>-0.032258064516129</v>
      </c>
      <c r="Y18" s="4" t="s">
        <v>76</v>
      </c>
    </row>
    <row r="19" customFormat="false" ht="15" hidden="false" customHeight="false" outlineLevel="0" collapsed="false">
      <c r="A19" s="0" t="s">
        <v>77</v>
      </c>
      <c r="C19" s="0" t="s">
        <v>26</v>
      </c>
      <c r="D19" s="0" t="s">
        <v>27</v>
      </c>
      <c r="E19" s="0" t="s">
        <v>78</v>
      </c>
      <c r="G19" s="0" t="s">
        <v>29</v>
      </c>
      <c r="H19" s="0" t="n">
        <v>15</v>
      </c>
      <c r="I19" s="0" t="n">
        <v>680</v>
      </c>
      <c r="J19" s="0" t="n">
        <v>660</v>
      </c>
      <c r="K19" s="0" t="s">
        <v>29</v>
      </c>
      <c r="L19" s="2" t="n">
        <v>589</v>
      </c>
      <c r="M19" s="3" t="s">
        <v>30</v>
      </c>
      <c r="N19" s="2" t="n">
        <v>589</v>
      </c>
      <c r="O19" s="3" t="s">
        <v>30</v>
      </c>
      <c r="P19" s="2" t="n">
        <v>605</v>
      </c>
      <c r="Q19" s="3" t="s">
        <v>30</v>
      </c>
      <c r="R19" s="2" t="n">
        <v>650</v>
      </c>
      <c r="S19" s="3" t="s">
        <v>30</v>
      </c>
      <c r="T19" s="4" t="n">
        <f aca="false">COUNT(L19,N19,P19,R19)</f>
        <v>4</v>
      </c>
      <c r="U19" s="5" t="n">
        <f aca="false">IF(T19=0,"Non trouvé",IFERROR(MODE(L19,N19,P19,R19),MEDIAN(L19,N19,P19,R19)))</f>
        <v>589</v>
      </c>
      <c r="V19" s="0" t="str">
        <f aca="false">IF(T19=0,"Non trouvé",IF(T19=1,"Source unique",IF(ISNUMBER(MODE(L19,N19,P19,R19)),"Prix le plus fréquent","Aucun prix répété : médiane")))</f>
        <v>Prix le plus fréquent</v>
      </c>
      <c r="W19" s="6" t="n">
        <f aca="false">IF(ISNUMBER(U19),I19-U19,"")</f>
        <v>91</v>
      </c>
      <c r="X19" s="7" t="n">
        <f aca="false">IF(ISNUMBER(U19),I19/U19-1,"")</f>
        <v>0.154499151103565</v>
      </c>
    </row>
    <row r="20" customFormat="false" ht="15" hidden="false" customHeight="false" outlineLevel="0" collapsed="false">
      <c r="A20" s="0" t="s">
        <v>79</v>
      </c>
      <c r="C20" s="0" t="s">
        <v>26</v>
      </c>
      <c r="D20" s="0" t="s">
        <v>27</v>
      </c>
      <c r="E20" s="0" t="s">
        <v>80</v>
      </c>
      <c r="G20" s="0" t="s">
        <v>29</v>
      </c>
      <c r="H20" s="0" t="n">
        <v>28</v>
      </c>
      <c r="I20" s="0" t="n">
        <v>770</v>
      </c>
      <c r="J20" s="0" t="n">
        <v>760</v>
      </c>
      <c r="K20" s="0" t="s">
        <v>29</v>
      </c>
      <c r="L20" s="2" t="n">
        <v>745</v>
      </c>
      <c r="M20" s="3" t="s">
        <v>30</v>
      </c>
      <c r="N20" s="2" t="n">
        <v>745</v>
      </c>
      <c r="O20" s="3" t="s">
        <v>30</v>
      </c>
      <c r="P20" s="2" t="n">
        <v>745</v>
      </c>
      <c r="Q20" s="3" t="s">
        <v>30</v>
      </c>
      <c r="T20" s="4" t="n">
        <f aca="false">COUNT(L20,N20,P20,R20)</f>
        <v>3</v>
      </c>
      <c r="U20" s="5" t="n">
        <f aca="false">IF(T20=0,"Non trouvé",IFERROR(MODE(L20,N20,P20,R20),MEDIAN(L20,N20,P20,R20)))</f>
        <v>745</v>
      </c>
      <c r="V20" s="0" t="str">
        <f aca="false">IF(T20=0,"Non trouvé",IF(T20=1,"Source unique",IF(ISNUMBER(MODE(L20,N20,P20,R20)),"Prix le plus fréquent","Aucun prix répété : médiane")))</f>
        <v>Prix le plus fréquent</v>
      </c>
      <c r="W20" s="6" t="n">
        <f aca="false">IF(ISNUMBER(U20),I20-U20,"")</f>
        <v>25</v>
      </c>
      <c r="X20" s="7" t="n">
        <f aca="false">IF(ISNUMBER(U20),I20/U20-1,"")</f>
        <v>0.0335570469798658</v>
      </c>
    </row>
    <row r="21" customFormat="false" ht="15" hidden="false" customHeight="false" outlineLevel="0" collapsed="false">
      <c r="A21" s="0" t="s">
        <v>81</v>
      </c>
      <c r="C21" s="0" t="s">
        <v>26</v>
      </c>
      <c r="D21" s="0" t="s">
        <v>27</v>
      </c>
      <c r="E21" s="0" t="s">
        <v>82</v>
      </c>
      <c r="G21" s="0" t="s">
        <v>29</v>
      </c>
      <c r="H21" s="0" t="n">
        <v>667</v>
      </c>
      <c r="I21" s="0" t="n">
        <v>300</v>
      </c>
      <c r="J21" s="0" t="n">
        <v>300</v>
      </c>
      <c r="K21" s="0" t="s">
        <v>29</v>
      </c>
      <c r="L21" s="2" t="n">
        <v>289</v>
      </c>
      <c r="M21" s="3" t="s">
        <v>30</v>
      </c>
      <c r="P21" s="2" t="n">
        <v>309</v>
      </c>
      <c r="Q21" s="3" t="s">
        <v>30</v>
      </c>
      <c r="T21" s="4" t="n">
        <f aca="false">COUNT(L21,N21,P21,R21)</f>
        <v>2</v>
      </c>
      <c r="U21" s="5" t="n">
        <f aca="false">IF(T21=0,"Non trouvé",IFERROR(MODE(L21,N21,P21,R21),MEDIAN(L21,N21,P21,R21)))</f>
        <v>299</v>
      </c>
      <c r="V21" s="0" t="str">
        <f aca="false">IF(T21=0,"Non trouvé",IF(T21=1,"Source unique",IF(ISNUMBER(MODE(L21,N21,P21,R21)),"Prix le plus fréquent","Aucun prix répété : médiane")))</f>
        <v>Aucun prix répété : médiane</v>
      </c>
      <c r="W21" s="6" t="n">
        <f aca="false">IF(ISNUMBER(U21),I21-U21,"")</f>
        <v>1</v>
      </c>
      <c r="X21" s="7" t="n">
        <f aca="false">IF(ISNUMBER(U21),I21/U21-1,"")</f>
        <v>0.00334448160535117</v>
      </c>
    </row>
    <row r="22" customFormat="false" ht="15" hidden="false" customHeight="false" outlineLevel="0" collapsed="false">
      <c r="A22" s="0" t="s">
        <v>83</v>
      </c>
      <c r="C22" s="0" t="s">
        <v>26</v>
      </c>
      <c r="D22" s="0" t="s">
        <v>27</v>
      </c>
      <c r="E22" s="0" t="s">
        <v>84</v>
      </c>
      <c r="G22" s="0" t="s">
        <v>29</v>
      </c>
      <c r="H22" s="0" t="n">
        <v>223</v>
      </c>
      <c r="I22" s="0" t="n">
        <v>150</v>
      </c>
      <c r="J22" s="0" t="n">
        <v>145</v>
      </c>
      <c r="K22" s="0" t="s">
        <v>29</v>
      </c>
      <c r="L22" s="2" t="n">
        <v>125</v>
      </c>
      <c r="M22" s="3" t="s">
        <v>30</v>
      </c>
      <c r="N22" s="2" t="n">
        <v>125</v>
      </c>
      <c r="O22" s="3" t="s">
        <v>30</v>
      </c>
      <c r="P22" s="2" t="n">
        <v>135</v>
      </c>
      <c r="Q22" s="3" t="s">
        <v>30</v>
      </c>
      <c r="R22" s="2" t="n">
        <v>145</v>
      </c>
      <c r="S22" s="3" t="s">
        <v>30</v>
      </c>
      <c r="T22" s="4" t="n">
        <f aca="false">COUNT(L22,N22,P22,R22)</f>
        <v>4</v>
      </c>
      <c r="U22" s="5" t="n">
        <f aca="false">IF(T22=0,"Non trouvé",IFERROR(MODE(L22,N22,P22,R22),MEDIAN(L22,N22,P22,R22)))</f>
        <v>125</v>
      </c>
      <c r="V22" s="0" t="str">
        <f aca="false">IF(T22=0,"Non trouvé",IF(T22=1,"Source unique",IF(ISNUMBER(MODE(L22,N22,P22,R22)),"Prix le plus fréquent","Aucun prix répété : médiane")))</f>
        <v>Prix le plus fréquent</v>
      </c>
      <c r="W22" s="6" t="n">
        <f aca="false">IF(ISNUMBER(U22),I22-U22,"")</f>
        <v>25</v>
      </c>
      <c r="X22" s="7" t="n">
        <f aca="false">IF(ISNUMBER(U22),I22/U22-1,"")</f>
        <v>0.2</v>
      </c>
    </row>
    <row r="23" customFormat="false" ht="15" hidden="false" customHeight="false" outlineLevel="0" collapsed="false">
      <c r="A23" s="0" t="s">
        <v>85</v>
      </c>
      <c r="C23" s="0" t="s">
        <v>37</v>
      </c>
      <c r="D23" s="0" t="s">
        <v>27</v>
      </c>
      <c r="E23" s="0" t="s">
        <v>86</v>
      </c>
      <c r="G23" s="0" t="s">
        <v>29</v>
      </c>
      <c r="H23" s="0" t="n">
        <v>124</v>
      </c>
      <c r="I23" s="0" t="n">
        <v>230</v>
      </c>
      <c r="J23" s="0" t="n">
        <v>230</v>
      </c>
      <c r="K23" s="0" t="s">
        <v>29</v>
      </c>
      <c r="L23" s="2" t="n">
        <v>190</v>
      </c>
      <c r="M23" s="3" t="s">
        <v>30</v>
      </c>
      <c r="N23" s="2" t="n">
        <v>190</v>
      </c>
      <c r="O23" s="3" t="s">
        <v>30</v>
      </c>
      <c r="P23" s="2" t="n">
        <v>210</v>
      </c>
      <c r="Q23" s="3" t="s">
        <v>30</v>
      </c>
      <c r="T23" s="4" t="n">
        <f aca="false">COUNT(L23,N23,P23,R23)</f>
        <v>3</v>
      </c>
      <c r="U23" s="5" t="n">
        <f aca="false">IF(T23=0,"Non trouvé",IFERROR(MODE(L23,N23,P23,R23),MEDIAN(L23,N23,P23,R23)))</f>
        <v>190</v>
      </c>
      <c r="V23" s="0" t="str">
        <f aca="false">IF(T23=0,"Non trouvé",IF(T23=1,"Source unique",IF(ISNUMBER(MODE(L23,N23,P23,R23)),"Prix le plus fréquent","Aucun prix répété : médiane")))</f>
        <v>Prix le plus fréquent</v>
      </c>
      <c r="W23" s="6" t="n">
        <f aca="false">IF(ISNUMBER(U23),I23-U23,"")</f>
        <v>40</v>
      </c>
      <c r="X23" s="7" t="n">
        <f aca="false">IF(ISNUMBER(U23),I23/U23-1,"")</f>
        <v>0.210526315789474</v>
      </c>
    </row>
    <row r="24" customFormat="false" ht="15" hidden="false" customHeight="false" outlineLevel="0" collapsed="false">
      <c r="A24" s="0" t="s">
        <v>87</v>
      </c>
      <c r="C24" s="0" t="s">
        <v>37</v>
      </c>
      <c r="D24" s="0" t="s">
        <v>27</v>
      </c>
      <c r="E24" s="0" t="s">
        <v>88</v>
      </c>
      <c r="G24" s="0" t="s">
        <v>29</v>
      </c>
      <c r="H24" s="0" t="n">
        <v>100</v>
      </c>
      <c r="I24" s="0" t="n">
        <v>85</v>
      </c>
      <c r="J24" s="0" t="n">
        <v>75</v>
      </c>
      <c r="K24" s="0" t="s">
        <v>29</v>
      </c>
      <c r="L24" s="2" t="n">
        <v>72</v>
      </c>
      <c r="M24" s="3" t="s">
        <v>30</v>
      </c>
      <c r="N24" s="2" t="n">
        <v>72</v>
      </c>
      <c r="O24" s="3" t="s">
        <v>30</v>
      </c>
      <c r="P24" s="2" t="n">
        <v>72</v>
      </c>
      <c r="Q24" s="3" t="s">
        <v>30</v>
      </c>
      <c r="T24" s="4" t="n">
        <f aca="false">COUNT(L24,N24,P24,R24)</f>
        <v>3</v>
      </c>
      <c r="U24" s="5" t="n">
        <f aca="false">IF(T24=0,"Non trouvé",IFERROR(MODE(L24,N24,P24,R24),MEDIAN(L24,N24,P24,R24)))</f>
        <v>72</v>
      </c>
      <c r="V24" s="0" t="str">
        <f aca="false">IF(T24=0,"Non trouvé",IF(T24=1,"Source unique",IF(ISNUMBER(MODE(L24,N24,P24,R24)),"Prix le plus fréquent","Aucun prix répété : médiane")))</f>
        <v>Prix le plus fréquent</v>
      </c>
      <c r="W24" s="6" t="n">
        <f aca="false">IF(ISNUMBER(U24),I24-U24,"")</f>
        <v>13</v>
      </c>
      <c r="X24" s="7" t="n">
        <f aca="false">IF(ISNUMBER(U24),I24/U24-1,"")</f>
        <v>0.180555555555556</v>
      </c>
    </row>
    <row r="25" customFormat="false" ht="15" hidden="false" customHeight="false" outlineLevel="0" collapsed="false">
      <c r="A25" s="0" t="s">
        <v>87</v>
      </c>
      <c r="B25" s="0" t="s">
        <v>89</v>
      </c>
      <c r="C25" s="0" t="s">
        <v>37</v>
      </c>
      <c r="D25" s="0" t="s">
        <v>27</v>
      </c>
      <c r="E25" s="0" t="s">
        <v>88</v>
      </c>
      <c r="G25" s="0" t="s">
        <v>29</v>
      </c>
      <c r="H25" s="0" t="n">
        <v>52</v>
      </c>
      <c r="I25" s="0" t="n">
        <v>80</v>
      </c>
      <c r="J25" s="0" t="n">
        <v>75</v>
      </c>
      <c r="K25" s="0" t="s">
        <v>29</v>
      </c>
      <c r="L25" s="2" t="n">
        <v>72</v>
      </c>
      <c r="M25" s="3" t="s">
        <v>30</v>
      </c>
      <c r="P25" s="2" t="n">
        <v>72</v>
      </c>
      <c r="Q25" s="3" t="s">
        <v>30</v>
      </c>
      <c r="T25" s="4" t="n">
        <f aca="false">COUNT(L25,N25,P25,R25)</f>
        <v>2</v>
      </c>
      <c r="U25" s="5" t="n">
        <f aca="false">IF(T25=0,"Non trouvé",IFERROR(MODE(L25,N25,P25,R25),MEDIAN(L25,N25,P25,R25)))</f>
        <v>72</v>
      </c>
      <c r="V25" s="0" t="str">
        <f aca="false">IF(T25=0,"Non trouvé",IF(T25=1,"Source unique",IF(ISNUMBER(MODE(L25,N25,P25,R25)),"Prix le plus fréquent","Aucun prix répété : médiane")))</f>
        <v>Prix le plus fréquent</v>
      </c>
      <c r="W25" s="6" t="n">
        <f aca="false">IF(ISNUMBER(U25),I25-U25,"")</f>
        <v>8</v>
      </c>
      <c r="X25" s="7" t="n">
        <f aca="false">IF(ISNUMBER(U25),I25/U25-1,"")</f>
        <v>0.111111111111111</v>
      </c>
    </row>
    <row r="26" customFormat="false" ht="15" hidden="false" customHeight="false" outlineLevel="0" collapsed="false">
      <c r="A26" s="0" t="s">
        <v>87</v>
      </c>
      <c r="B26" s="0" t="s">
        <v>90</v>
      </c>
      <c r="C26" s="0" t="s">
        <v>37</v>
      </c>
      <c r="D26" s="0" t="s">
        <v>27</v>
      </c>
      <c r="E26" s="0" t="s">
        <v>88</v>
      </c>
      <c r="G26" s="0" t="s">
        <v>29</v>
      </c>
      <c r="H26" s="0" t="n">
        <v>48</v>
      </c>
      <c r="I26" s="0" t="n">
        <v>80</v>
      </c>
      <c r="J26" s="0" t="n">
        <v>75</v>
      </c>
      <c r="K26" s="0" t="s">
        <v>29</v>
      </c>
      <c r="L26" s="2" t="n">
        <v>72</v>
      </c>
      <c r="M26" s="3" t="s">
        <v>30</v>
      </c>
      <c r="N26" s="2" t="n">
        <v>72</v>
      </c>
      <c r="O26" s="3" t="s">
        <v>30</v>
      </c>
      <c r="P26" s="2" t="n">
        <v>72</v>
      </c>
      <c r="Q26" s="3" t="s">
        <v>30</v>
      </c>
      <c r="T26" s="4" t="n">
        <f aca="false">COUNT(L26,N26,P26,R26)</f>
        <v>3</v>
      </c>
      <c r="U26" s="5" t="n">
        <f aca="false">IF(T26=0,"Non trouvé",IFERROR(MODE(L26,N26,P26,R26),MEDIAN(L26,N26,P26,R26)))</f>
        <v>72</v>
      </c>
      <c r="V26" s="0" t="str">
        <f aca="false">IF(T26=0,"Non trouvé",IF(T26=1,"Source unique",IF(ISNUMBER(MODE(L26,N26,P26,R26)),"Prix le plus fréquent","Aucun prix répété : médiane")))</f>
        <v>Prix le plus fréquent</v>
      </c>
      <c r="W26" s="6" t="n">
        <f aca="false">IF(ISNUMBER(U26),I26-U26,"")</f>
        <v>8</v>
      </c>
      <c r="X26" s="7" t="n">
        <f aca="false">IF(ISNUMBER(U26),I26/U26-1,"")</f>
        <v>0.111111111111111</v>
      </c>
    </row>
    <row r="27" customFormat="false" ht="15" hidden="false" customHeight="false" outlineLevel="0" collapsed="false">
      <c r="A27" s="0" t="s">
        <v>91</v>
      </c>
      <c r="C27" s="0" t="s">
        <v>26</v>
      </c>
      <c r="D27" s="0" t="s">
        <v>27</v>
      </c>
      <c r="E27" s="0" t="s">
        <v>92</v>
      </c>
      <c r="G27" s="0" t="s">
        <v>29</v>
      </c>
      <c r="H27" s="0" t="n">
        <v>4730</v>
      </c>
      <c r="I27" s="0" t="n">
        <v>20</v>
      </c>
      <c r="J27" s="0" t="n">
        <v>18</v>
      </c>
      <c r="K27" s="0" t="s">
        <v>29</v>
      </c>
      <c r="L27" s="2" t="n">
        <v>15.5</v>
      </c>
      <c r="M27" s="3" t="s">
        <v>30</v>
      </c>
      <c r="P27" s="2" t="n">
        <v>17</v>
      </c>
      <c r="Q27" s="3" t="s">
        <v>30</v>
      </c>
      <c r="R27" s="2" t="n">
        <v>20</v>
      </c>
      <c r="S27" s="3" t="s">
        <v>30</v>
      </c>
      <c r="T27" s="4" t="n">
        <f aca="false">COUNT(L27,N27,P27,R27)</f>
        <v>3</v>
      </c>
      <c r="U27" s="5" t="n">
        <f aca="false">IF(T27=0,"Non trouvé",IFERROR(MODE(L27,N27,P27,R27),MEDIAN(L27,N27,P27,R27)))</f>
        <v>17</v>
      </c>
      <c r="V27" s="0" t="str">
        <f aca="false">IF(T27=0,"Non trouvé",IF(T27=1,"Source unique",IF(ISNUMBER(MODE(L27,N27,P27,R27)),"Prix le plus fréquent","Aucun prix répété : médiane")))</f>
        <v>Aucun prix répété : médiane</v>
      </c>
      <c r="W27" s="6" t="n">
        <f aca="false">IF(ISNUMBER(U27),I27-U27,"")</f>
        <v>3</v>
      </c>
      <c r="X27" s="7" t="n">
        <f aca="false">IF(ISNUMBER(U27),I27/U27-1,"")</f>
        <v>0.176470588235294</v>
      </c>
    </row>
    <row r="28" customFormat="false" ht="15" hidden="false" customHeight="false" outlineLevel="0" collapsed="false">
      <c r="A28" s="0" t="s">
        <v>93</v>
      </c>
      <c r="C28" s="0" t="s">
        <v>37</v>
      </c>
      <c r="D28" s="0" t="s">
        <v>27</v>
      </c>
      <c r="E28" s="0" t="s">
        <v>94</v>
      </c>
      <c r="G28" s="0" t="s">
        <v>29</v>
      </c>
      <c r="H28" s="0" t="n">
        <v>74</v>
      </c>
      <c r="I28" s="0" t="n">
        <v>220</v>
      </c>
      <c r="J28" s="0" t="n">
        <v>215</v>
      </c>
      <c r="K28" s="0" t="s">
        <v>29</v>
      </c>
      <c r="L28" s="2" t="n">
        <v>219</v>
      </c>
      <c r="M28" s="3" t="s">
        <v>30</v>
      </c>
      <c r="N28" s="2" t="n">
        <v>219</v>
      </c>
      <c r="O28" s="3" t="s">
        <v>30</v>
      </c>
      <c r="P28" s="2" t="n">
        <v>215</v>
      </c>
      <c r="Q28" s="3" t="s">
        <v>30</v>
      </c>
      <c r="R28" s="2" t="n">
        <v>225</v>
      </c>
      <c r="S28" s="3" t="s">
        <v>30</v>
      </c>
      <c r="T28" s="4" t="n">
        <f aca="false">COUNT(L28,N28,P28,R28)</f>
        <v>4</v>
      </c>
      <c r="U28" s="5" t="n">
        <f aca="false">IF(T28=0,"Non trouvé",IFERROR(MODE(L28,N28,P28,R28),MEDIAN(L28,N28,P28,R28)))</f>
        <v>219</v>
      </c>
      <c r="V28" s="0" t="str">
        <f aca="false">IF(T28=0,"Non trouvé",IF(T28=1,"Source unique",IF(ISNUMBER(MODE(L28,N28,P28,R28)),"Prix le plus fréquent","Aucun prix répété : médiane")))</f>
        <v>Prix le plus fréquent</v>
      </c>
      <c r="W28" s="6" t="n">
        <f aca="false">IF(ISNUMBER(U28),I28-U28,"")</f>
        <v>1</v>
      </c>
      <c r="X28" s="7" t="n">
        <f aca="false">IF(ISNUMBER(U28),I28/U28-1,"")</f>
        <v>0.00456621004566205</v>
      </c>
    </row>
    <row r="29" customFormat="false" ht="15" hidden="false" customHeight="false" outlineLevel="0" collapsed="false">
      <c r="A29" s="0" t="s">
        <v>95</v>
      </c>
      <c r="C29" s="0" t="s">
        <v>96</v>
      </c>
      <c r="D29" s="0" t="s">
        <v>27</v>
      </c>
      <c r="E29" s="0" t="s">
        <v>97</v>
      </c>
      <c r="G29" s="0" t="s">
        <v>29</v>
      </c>
      <c r="H29" s="0" t="n">
        <v>21</v>
      </c>
      <c r="I29" s="0" t="n">
        <v>65.61</v>
      </c>
      <c r="J29" s="0" t="n">
        <v>60.75</v>
      </c>
      <c r="K29" s="0" t="s">
        <v>29</v>
      </c>
      <c r="T29" s="0" t="n">
        <f aca="false">COUNT(L29,N29,P29,R29)</f>
        <v>0</v>
      </c>
      <c r="U29" s="5" t="str">
        <f aca="false">IF(T29=0,"Non trouvé",IFERROR(MODE(L29,N29,P29,R29),MEDIAN(L29,N29,P29,R29)))</f>
        <v>Non trouvé</v>
      </c>
      <c r="V29" s="0" t="str">
        <f aca="false">IF(T29=0,"Non trouvé",IF(T29=1,"Source unique",IF(ISNUMBER(MODE(L29,N29,P29,R29)),"Prix le plus fréquent","Aucun prix répété : médiane")))</f>
        <v>Non trouvé</v>
      </c>
      <c r="W29" s="6" t="str">
        <f aca="false">IF(ISNUMBER(U29),I29-U29,"")</f>
        <v/>
      </c>
      <c r="X29" s="7" t="str">
        <f aca="false">IF(ISNUMBER(U29),I29/U29-1,"")</f>
        <v/>
      </c>
      <c r="Y29" s="4" t="s">
        <v>98</v>
      </c>
    </row>
    <row r="30" customFormat="false" ht="15" hidden="false" customHeight="false" outlineLevel="0" collapsed="false">
      <c r="A30" s="0" t="s">
        <v>99</v>
      </c>
      <c r="C30" s="0" t="s">
        <v>96</v>
      </c>
      <c r="D30" s="0" t="s">
        <v>27</v>
      </c>
      <c r="E30" s="0" t="s">
        <v>100</v>
      </c>
      <c r="G30" s="0" t="s">
        <v>29</v>
      </c>
      <c r="H30" s="0" t="n">
        <v>8</v>
      </c>
      <c r="I30" s="0" t="n">
        <v>74.52</v>
      </c>
      <c r="J30" s="0" t="n">
        <v>69</v>
      </c>
      <c r="K30" s="0" t="s">
        <v>29</v>
      </c>
      <c r="T30" s="0" t="n">
        <f aca="false">COUNT(L30,N30,P30,R30)</f>
        <v>0</v>
      </c>
      <c r="U30" s="5" t="str">
        <f aca="false">IF(T30=0,"Non trouvé",IFERROR(MODE(L30,N30,P30,R30),MEDIAN(L30,N30,P30,R30)))</f>
        <v>Non trouvé</v>
      </c>
      <c r="V30" s="0" t="str">
        <f aca="false">IF(T30=0,"Non trouvé",IF(T30=1,"Source unique",IF(ISNUMBER(MODE(L30,N30,P30,R30)),"Prix le plus fréquent","Aucun prix répété : médiane")))</f>
        <v>Non trouvé</v>
      </c>
      <c r="W30" s="6" t="str">
        <f aca="false">IF(ISNUMBER(U30),I30-U30,"")</f>
        <v/>
      </c>
      <c r="X30" s="7" t="str">
        <f aca="false">IF(ISNUMBER(U30),I30/U30-1,"")</f>
        <v/>
      </c>
      <c r="Y30" s="4" t="s">
        <v>98</v>
      </c>
    </row>
    <row r="31" customFormat="false" ht="15" hidden="false" customHeight="false" outlineLevel="0" collapsed="false">
      <c r="A31" s="0" t="s">
        <v>101</v>
      </c>
      <c r="C31" s="0" t="s">
        <v>96</v>
      </c>
      <c r="D31" s="0" t="s">
        <v>27</v>
      </c>
      <c r="E31" s="0" t="s">
        <v>102</v>
      </c>
      <c r="G31" s="0" t="s">
        <v>29</v>
      </c>
      <c r="H31" s="0" t="n">
        <v>258</v>
      </c>
      <c r="I31" s="0" t="n">
        <v>65.61</v>
      </c>
      <c r="J31" s="0" t="n">
        <v>60.75</v>
      </c>
      <c r="K31" s="0" t="s">
        <v>29</v>
      </c>
      <c r="T31" s="0" t="n">
        <f aca="false">COUNT(L31,N31,P31,R31)</f>
        <v>0</v>
      </c>
      <c r="U31" s="5" t="str">
        <f aca="false">IF(T31=0,"Non trouvé",IFERROR(MODE(L31,N31,P31,R31),MEDIAN(L31,N31,P31,R31)))</f>
        <v>Non trouvé</v>
      </c>
      <c r="V31" s="0" t="str">
        <f aca="false">IF(T31=0,"Non trouvé",IF(T31=1,"Source unique",IF(ISNUMBER(MODE(L31,N31,P31,R31)),"Prix le plus fréquent","Aucun prix répété : médiane")))</f>
        <v>Non trouvé</v>
      </c>
      <c r="W31" s="6" t="str">
        <f aca="false">IF(ISNUMBER(U31),I31-U31,"")</f>
        <v/>
      </c>
      <c r="X31" s="7" t="str">
        <f aca="false">IF(ISNUMBER(U31),I31/U31-1,"")</f>
        <v/>
      </c>
      <c r="Y31" s="4" t="s">
        <v>98</v>
      </c>
    </row>
    <row r="32" customFormat="false" ht="15" hidden="false" customHeight="false" outlineLevel="0" collapsed="false">
      <c r="A32" s="0" t="s">
        <v>103</v>
      </c>
      <c r="C32" s="0" t="s">
        <v>96</v>
      </c>
      <c r="D32" s="0" t="s">
        <v>27</v>
      </c>
      <c r="E32" s="0" t="s">
        <v>104</v>
      </c>
      <c r="G32" s="0" t="s">
        <v>29</v>
      </c>
      <c r="H32" s="0" t="n">
        <v>79</v>
      </c>
      <c r="I32" s="0" t="n">
        <v>65.61</v>
      </c>
      <c r="J32" s="0" t="n">
        <v>60.75</v>
      </c>
      <c r="K32" s="0" t="s">
        <v>29</v>
      </c>
      <c r="T32" s="0" t="n">
        <f aca="false">COUNT(L32,N32,P32,R32)</f>
        <v>0</v>
      </c>
      <c r="U32" s="5" t="str">
        <f aca="false">IF(T32=0,"Non trouvé",IFERROR(MODE(L32,N32,P32,R32),MEDIAN(L32,N32,P32,R32)))</f>
        <v>Non trouvé</v>
      </c>
      <c r="V32" s="0" t="str">
        <f aca="false">IF(T32=0,"Non trouvé",IF(T32=1,"Source unique",IF(ISNUMBER(MODE(L32,N32,P32,R32)),"Prix le plus fréquent","Aucun prix répété : médiane")))</f>
        <v>Non trouvé</v>
      </c>
      <c r="W32" s="6" t="str">
        <f aca="false">IF(ISNUMBER(U32),I32-U32,"")</f>
        <v/>
      </c>
      <c r="X32" s="7" t="str">
        <f aca="false">IF(ISNUMBER(U32),I32/U32-1,"")</f>
        <v/>
      </c>
      <c r="Y32" s="4" t="s">
        <v>98</v>
      </c>
    </row>
    <row r="33" customFormat="false" ht="15" hidden="false" customHeight="false" outlineLevel="0" collapsed="false">
      <c r="A33" s="0" t="s">
        <v>105</v>
      </c>
      <c r="C33" s="0" t="s">
        <v>96</v>
      </c>
      <c r="D33" s="0" t="s">
        <v>27</v>
      </c>
      <c r="E33" s="0" t="s">
        <v>106</v>
      </c>
      <c r="G33" s="0" t="s">
        <v>29</v>
      </c>
      <c r="H33" s="0" t="n">
        <v>146</v>
      </c>
      <c r="I33" s="0" t="n">
        <v>65.61</v>
      </c>
      <c r="J33" s="0" t="n">
        <v>60.75</v>
      </c>
      <c r="K33" s="0" t="s">
        <v>29</v>
      </c>
      <c r="T33" s="0" t="n">
        <f aca="false">COUNT(L33,N33,P33,R33)</f>
        <v>0</v>
      </c>
      <c r="U33" s="5" t="str">
        <f aca="false">IF(T33=0,"Non trouvé",IFERROR(MODE(L33,N33,P33,R33),MEDIAN(L33,N33,P33,R33)))</f>
        <v>Non trouvé</v>
      </c>
      <c r="V33" s="0" t="str">
        <f aca="false">IF(T33=0,"Non trouvé",IF(T33=1,"Source unique",IF(ISNUMBER(MODE(L33,N33,P33,R33)),"Prix le plus fréquent","Aucun prix répété : médiane")))</f>
        <v>Non trouvé</v>
      </c>
      <c r="W33" s="6" t="str">
        <f aca="false">IF(ISNUMBER(U33),I33-U33,"")</f>
        <v/>
      </c>
      <c r="X33" s="7" t="str">
        <f aca="false">IF(ISNUMBER(U33),I33/U33-1,"")</f>
        <v/>
      </c>
      <c r="Y33" s="4" t="s">
        <v>98</v>
      </c>
    </row>
    <row r="34" customFormat="false" ht="15" hidden="false" customHeight="false" outlineLevel="0" collapsed="false">
      <c r="A34" s="0" t="s">
        <v>107</v>
      </c>
      <c r="C34" s="0" t="s">
        <v>96</v>
      </c>
      <c r="D34" s="0" t="s">
        <v>27</v>
      </c>
      <c r="E34" s="0" t="s">
        <v>108</v>
      </c>
      <c r="G34" s="0" t="s">
        <v>29</v>
      </c>
      <c r="H34" s="0" t="n">
        <v>150</v>
      </c>
      <c r="I34" s="0" t="n">
        <v>65.61</v>
      </c>
      <c r="J34" s="0" t="n">
        <v>60.75</v>
      </c>
      <c r="K34" s="0" t="s">
        <v>29</v>
      </c>
      <c r="T34" s="0" t="n">
        <f aca="false">COUNT(L34,N34,P34,R34)</f>
        <v>0</v>
      </c>
      <c r="U34" s="5" t="str">
        <f aca="false">IF(T34=0,"Non trouvé",IFERROR(MODE(L34,N34,P34,R34),MEDIAN(L34,N34,P34,R34)))</f>
        <v>Non trouvé</v>
      </c>
      <c r="V34" s="0" t="str">
        <f aca="false">IF(T34=0,"Non trouvé",IF(T34=1,"Source unique",IF(ISNUMBER(MODE(L34,N34,P34,R34)),"Prix le plus fréquent","Aucun prix répété : médiane")))</f>
        <v>Non trouvé</v>
      </c>
      <c r="W34" s="6" t="str">
        <f aca="false">IF(ISNUMBER(U34),I34-U34,"")</f>
        <v/>
      </c>
      <c r="X34" s="7" t="str">
        <f aca="false">IF(ISNUMBER(U34),I34/U34-1,"")</f>
        <v/>
      </c>
      <c r="Y34" s="4" t="s">
        <v>98</v>
      </c>
    </row>
    <row r="35" customFormat="false" ht="15" hidden="false" customHeight="false" outlineLevel="0" collapsed="false">
      <c r="A35" s="0" t="s">
        <v>109</v>
      </c>
      <c r="C35" s="0" t="s">
        <v>26</v>
      </c>
      <c r="D35" s="0" t="s">
        <v>27</v>
      </c>
      <c r="E35" s="0" t="s">
        <v>110</v>
      </c>
      <c r="G35" s="0" t="s">
        <v>29</v>
      </c>
      <c r="H35" s="0" t="n">
        <v>54</v>
      </c>
      <c r="I35" s="0" t="n">
        <v>80</v>
      </c>
      <c r="J35" s="0" t="n">
        <v>75</v>
      </c>
      <c r="K35" s="0" t="s">
        <v>29</v>
      </c>
      <c r="T35" s="0" t="n">
        <f aca="false">COUNT(L35,N35,P35,R35)</f>
        <v>0</v>
      </c>
      <c r="U35" s="5" t="str">
        <f aca="false">IF(T35=0,"Non trouvé",IFERROR(MODE(L35,N35,P35,R35),MEDIAN(L35,N35,P35,R35)))</f>
        <v>Non trouvé</v>
      </c>
      <c r="V35" s="0" t="str">
        <f aca="false">IF(T35=0,"Non trouvé",IF(T35=1,"Source unique",IF(ISNUMBER(MODE(L35,N35,P35,R35)),"Prix le plus fréquent","Aucun prix répété : médiane")))</f>
        <v>Non trouvé</v>
      </c>
      <c r="W35" s="6" t="str">
        <f aca="false">IF(ISNUMBER(U35),I35-U35,"")</f>
        <v/>
      </c>
      <c r="X35" s="7" t="str">
        <f aca="false">IF(ISNUMBER(U35),I35/U35-1,"")</f>
        <v/>
      </c>
      <c r="Y35" s="4" t="s">
        <v>111</v>
      </c>
    </row>
    <row r="36" customFormat="false" ht="15" hidden="false" customHeight="false" outlineLevel="0" collapsed="false">
      <c r="A36" s="0" t="s">
        <v>112</v>
      </c>
      <c r="C36" s="0" t="s">
        <v>26</v>
      </c>
      <c r="D36" s="0" t="s">
        <v>27</v>
      </c>
      <c r="E36" s="0" t="s">
        <v>113</v>
      </c>
      <c r="G36" s="0" t="s">
        <v>29</v>
      </c>
      <c r="H36" s="0" t="n">
        <v>2</v>
      </c>
      <c r="I36" s="0" t="n">
        <v>750</v>
      </c>
      <c r="J36" s="0" t="n">
        <v>750</v>
      </c>
      <c r="K36" s="0" t="s">
        <v>29</v>
      </c>
      <c r="T36" s="0" t="n">
        <f aca="false">COUNT(L36,N36,P36,R36)</f>
        <v>0</v>
      </c>
      <c r="U36" s="5" t="str">
        <f aca="false">IF(T36=0,"Non trouvé",IFERROR(MODE(L36,N36,P36,R36),MEDIAN(L36,N36,P36,R36)))</f>
        <v>Non trouvé</v>
      </c>
      <c r="V36" s="0" t="str">
        <f aca="false">IF(T36=0,"Non trouvé",IF(T36=1,"Source unique",IF(ISNUMBER(MODE(L36,N36,P36,R36)),"Prix le plus fréquent","Aucun prix répété : médiane")))</f>
        <v>Non trouvé</v>
      </c>
      <c r="W36" s="6" t="str">
        <f aca="false">IF(ISNUMBER(U36),I36-U36,"")</f>
        <v/>
      </c>
      <c r="X36" s="7" t="str">
        <f aca="false">IF(ISNUMBER(U36),I36/U36-1,"")</f>
        <v/>
      </c>
      <c r="Y36" s="4" t="s">
        <v>114</v>
      </c>
    </row>
    <row r="38" customFormat="false" ht="15" hidden="false" customHeight="false" outlineLevel="0" collapsed="false">
      <c r="A38" s="8" t="s">
        <v>115</v>
      </c>
    </row>
    <row r="39" customFormat="false" ht="15" hidden="false" customHeight="false" outlineLevel="0" collapsed="false">
      <c r="A39" s="8" t="s">
        <v>116</v>
      </c>
    </row>
    <row r="40" customFormat="false" ht="15" hidden="false" customHeight="false" outlineLevel="0" collapsed="false">
      <c r="A40" s="8" t="s">
        <v>117</v>
      </c>
    </row>
  </sheetData>
  <hyperlinks>
    <hyperlink ref="Q2" r:id="rId1" display="Voir produit"/>
    <hyperlink ref="M3" r:id="rId2" display="Voir produit"/>
    <hyperlink ref="O3" r:id="rId3" display="Voir produit"/>
    <hyperlink ref="Q3" r:id="rId4" display="Voir produit"/>
    <hyperlink ref="M4" r:id="rId5" display="Voir produit"/>
    <hyperlink ref="Q4" r:id="rId6" display="Voir produit"/>
    <hyperlink ref="M5" r:id="rId7" display="Voir produit"/>
    <hyperlink ref="Q5" r:id="rId8" display="Voir produit"/>
    <hyperlink ref="M6" r:id="rId9" display="Voir produit"/>
    <hyperlink ref="Q6" r:id="rId10" display="Voir produit"/>
    <hyperlink ref="M9" r:id="rId11" display="Voir produit"/>
    <hyperlink ref="Q10" r:id="rId12" display="Voir produit"/>
    <hyperlink ref="Q11" r:id="rId13" display="Voir produit"/>
    <hyperlink ref="O12" r:id="rId14" display="Voir produit"/>
    <hyperlink ref="Q12" r:id="rId15" display="Voir produit"/>
    <hyperlink ref="O13" r:id="rId16" display="Voir produit"/>
    <hyperlink ref="O16" r:id="rId17" display="Voir produit"/>
    <hyperlink ref="M17" r:id="rId18" display="Voir produit"/>
    <hyperlink ref="S17" r:id="rId19" display="Voir produit"/>
    <hyperlink ref="O18" r:id="rId20" display="Voir produit"/>
    <hyperlink ref="M19" r:id="rId21" display="Voir produit"/>
    <hyperlink ref="O19" r:id="rId22" display="Voir produit"/>
    <hyperlink ref="Q19" r:id="rId23" display="Voir produit"/>
    <hyperlink ref="S19" r:id="rId24" display="Voir produit"/>
    <hyperlink ref="M20" r:id="rId25" display="Voir produit"/>
    <hyperlink ref="O20" r:id="rId26" display="Voir produit"/>
    <hyperlink ref="Q20" r:id="rId27" display="Voir produit"/>
    <hyperlink ref="M21" r:id="rId28" display="Voir produit"/>
    <hyperlink ref="Q21" r:id="rId29" display="Voir produit"/>
    <hyperlink ref="M22" r:id="rId30" display="Voir produit"/>
    <hyperlink ref="O22" r:id="rId31" display="Voir produit"/>
    <hyperlink ref="Q22" r:id="rId32" display="Voir produit"/>
    <hyperlink ref="S22" r:id="rId33" display="Voir produit"/>
    <hyperlink ref="M23" r:id="rId34" display="Voir produit"/>
    <hyperlink ref="O23" r:id="rId35" display="Voir produit"/>
    <hyperlink ref="Q23" r:id="rId36" display="Voir produit"/>
    <hyperlink ref="M24" r:id="rId37" display="Voir produit"/>
    <hyperlink ref="O24" r:id="rId38" display="Voir produit"/>
    <hyperlink ref="Q24" r:id="rId39" display="Voir produit"/>
    <hyperlink ref="M25" r:id="rId40" display="Voir produit"/>
    <hyperlink ref="Q25" r:id="rId41" display="Voir produit"/>
    <hyperlink ref="M26" r:id="rId42" display="Voir produit"/>
    <hyperlink ref="O26" r:id="rId43" display="Voir produit"/>
    <hyperlink ref="Q26" r:id="rId44" display="Voir produit"/>
    <hyperlink ref="M27" r:id="rId45" display="Voir produit"/>
    <hyperlink ref="Q27" r:id="rId46" display="Voir produit"/>
    <hyperlink ref="S27" r:id="rId47" display="Voir produit"/>
    <hyperlink ref="M28" r:id="rId48" display="Voir produit"/>
    <hyperlink ref="O28" r:id="rId49" display="Voir produit"/>
    <hyperlink ref="Q28" r:id="rId50" display="Voir produit"/>
    <hyperlink ref="S28" r:id="rId51" display="Voir produi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2026-10-10T20:31:57Z</dcterms:created>
  <dc:creator>openpyxl</dc:creator>
  <dc:description/>
  <dc:language>en-US</dc:language>
  <cp:lastModifiedBy/>
  <dcterms:modified xsi:type="dcterms:W3CDTF">2026-10-10T20:31:57Z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